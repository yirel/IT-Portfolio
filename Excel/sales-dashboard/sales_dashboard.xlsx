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LOCK_IN\backup_saves\Excel\sales-dashboard\"/>
    </mc:Choice>
  </mc:AlternateContent>
  <xr:revisionPtr revIDLastSave="0" documentId="13_ncr:1_{84AB1DD2-FF54-4474-ADBD-378E771190CC}" xr6:coauthVersionLast="47" xr6:coauthVersionMax="47" xr10:uidLastSave="{00000000-0000-0000-0000-000000000000}"/>
  <bookViews>
    <workbookView xWindow="-120" yWindow="-120" windowWidth="21840" windowHeight="13140" xr2:uid="{B4C3A749-6312-43B7-99FA-D20300450D91}"/>
  </bookViews>
  <sheets>
    <sheet name="pivot table" sheetId="4" r:id="rId1"/>
    <sheet name="Data" sheetId="1" r:id="rId2"/>
  </sheets>
  <definedNames>
    <definedName name="Slicer_Category">#N/A</definedName>
    <definedName name="Slicer_Salesperson">#N/A</definedName>
  </definedNames>
  <calcPr calcId="191029"/>
  <pivotCaches>
    <pivotCache cacheId="17"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4" i="4" l="1"/>
  <c r="N5" i="4"/>
  <c r="N6" i="4"/>
  <c r="H4" i="1"/>
  <c r="H3" i="1"/>
  <c r="H2" i="1"/>
</calcChain>
</file>

<file path=xl/sharedStrings.xml><?xml version="1.0" encoding="utf-8"?>
<sst xmlns="http://schemas.openxmlformats.org/spreadsheetml/2006/main" count="68" uniqueCount="32">
  <si>
    <t>Date</t>
  </si>
  <si>
    <t>Region</t>
  </si>
  <si>
    <t>Category</t>
  </si>
  <si>
    <t>Salesperson</t>
  </si>
  <si>
    <t>Sales</t>
  </si>
  <si>
    <t>North</t>
  </si>
  <si>
    <t>Laptop</t>
  </si>
  <si>
    <t>Jacob</t>
  </si>
  <si>
    <t>South</t>
  </si>
  <si>
    <t>Monitor</t>
  </si>
  <si>
    <t>Maria</t>
  </si>
  <si>
    <t>Keyboard</t>
  </si>
  <si>
    <t>Luis</t>
  </si>
  <si>
    <t>East</t>
  </si>
  <si>
    <t>Anna</t>
  </si>
  <si>
    <t>West</t>
  </si>
  <si>
    <t>Mouse</t>
  </si>
  <si>
    <t>Mark</t>
  </si>
  <si>
    <t>Printer</t>
  </si>
  <si>
    <t>Bea</t>
  </si>
  <si>
    <t>John</t>
  </si>
  <si>
    <t>Sum of Sales</t>
  </si>
  <si>
    <t>Row Labels</t>
  </si>
  <si>
    <t>Grand Total</t>
  </si>
  <si>
    <t>Jan</t>
  </si>
  <si>
    <t>Feb</t>
  </si>
  <si>
    <t>Mar</t>
  </si>
  <si>
    <t>Apr</t>
  </si>
  <si>
    <t>total sales</t>
  </si>
  <si>
    <t>average sales</t>
  </si>
  <si>
    <t>highest sales</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</si>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</sst>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28"/>
      <color theme="1"/>
      <name val="Aptos Narrow"/>
      <family val="2"/>
      <scheme val="minor"/>
    </font>
  </fonts>
  <fills count="2">
    <fill>
      <patternFill patternType="none"/>
    </fill>
    <fill>
      <patternFill patternType="gray125"/>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7">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14" fontId="0" fillId="0" borderId="0" xfId="0" applyNumberFormat="1" applyAlignment="1">
      <alignment vertical="center" wrapText="1"/>
    </xf>
    <xf numFmtId="0" fontId="0" fillId="0" borderId="0" xfId="0" applyAlignment="1">
      <alignment vertical="center" wrapText="1"/>
    </xf>
    <xf numFmtId="0" fontId="0" fillId="0" borderId="0" xfId="0" applyNumberFormat="1"/>
    <xf numFmtId="0" fontId="0" fillId="0" borderId="0" xfId="0" pivotButton="1"/>
    <xf numFmtId="0" fontId="0" fillId="0" borderId="0" xfId="0" applyAlignment="1">
      <alignment horizontal="left"/>
    </xf>
    <xf numFmtId="0" fontId="1" fillId="0" borderId="1" xfId="0" applyFont="1" applyBorder="1"/>
    <xf numFmtId="0" fontId="0" fillId="0" borderId="2" xfId="0" applyFont="1" applyBorder="1"/>
    <xf numFmtId="0" fontId="1" fillId="0" borderId="3" xfId="0" applyFont="1" applyBorder="1"/>
    <xf numFmtId="0" fontId="0" fillId="0" borderId="4" xfId="0" applyFont="1" applyBorder="1"/>
    <xf numFmtId="0" fontId="1" fillId="0" borderId="5" xfId="0" applyFont="1" applyBorder="1"/>
    <xf numFmtId="0" fontId="0" fillId="0" borderId="6" xfId="0" applyFont="1" applyBorder="1"/>
    <xf numFmtId="0" fontId="0" fillId="0" borderId="0" xfId="0" applyAlignment="1">
      <alignment horizontal="center"/>
    </xf>
    <xf numFmtId="0" fontId="2" fillId="0" borderId="0" xfId="0" applyFont="1" applyAlignment="1">
      <alignment horizontal="center"/>
    </xf>
  </cellXfs>
  <cellStyles count="1">
    <cellStyle name="Normal" xfId="0" builtinId="0"/>
  </cellStyles>
  <dxfs count="7">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table'!$A$4:$A$8</c:f>
              <c:strCache>
                <c:ptCount val="4"/>
                <c:pt idx="0">
                  <c:v>East</c:v>
                </c:pt>
                <c:pt idx="1">
                  <c:v>North</c:v>
                </c:pt>
                <c:pt idx="2">
                  <c:v>South</c:v>
                </c:pt>
                <c:pt idx="3">
                  <c:v>West</c:v>
                </c:pt>
              </c:strCache>
            </c:strRef>
          </c:cat>
          <c:val>
            <c:numRef>
              <c:f>'pivot table'!$B$4:$B$8</c:f>
              <c:numCache>
                <c:formatCode>General</c:formatCode>
                <c:ptCount val="4"/>
                <c:pt idx="0">
                  <c:v>72000</c:v>
                </c:pt>
                <c:pt idx="1">
                  <c:v>63500</c:v>
                </c:pt>
                <c:pt idx="2">
                  <c:v>65000</c:v>
                </c:pt>
                <c:pt idx="3">
                  <c:v>3750</c:v>
                </c:pt>
              </c:numCache>
            </c:numRef>
          </c:val>
          <c:extLst>
            <c:ext xmlns:c16="http://schemas.microsoft.com/office/drawing/2014/chart" uri="{C3380CC4-5D6E-409C-BE32-E72D297353CC}">
              <c16:uniqueId val="{00000000-A79D-403E-A883-63936F4B4079}"/>
            </c:ext>
          </c:extLst>
        </c:ser>
        <c:dLbls>
          <c:showLegendKey val="0"/>
          <c:showVal val="0"/>
          <c:showCatName val="0"/>
          <c:showSerName val="0"/>
          <c:showPercent val="0"/>
          <c:showBubbleSize val="0"/>
        </c:dLbls>
        <c:gapWidth val="219"/>
        <c:overlap val="-27"/>
        <c:axId val="1778813440"/>
        <c:axId val="1537468512"/>
      </c:barChart>
      <c:catAx>
        <c:axId val="177881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468512"/>
        <c:crosses val="autoZero"/>
        <c:auto val="1"/>
        <c:lblAlgn val="ctr"/>
        <c:lblOffset val="100"/>
        <c:noMultiLvlLbl val="0"/>
      </c:catAx>
      <c:valAx>
        <c:axId val="153746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81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table'!$D$4:$D$9</c:f>
              <c:strCache>
                <c:ptCount val="5"/>
                <c:pt idx="0">
                  <c:v>Keyboard</c:v>
                </c:pt>
                <c:pt idx="1">
                  <c:v>Laptop</c:v>
                </c:pt>
                <c:pt idx="2">
                  <c:v>Monitor</c:v>
                </c:pt>
                <c:pt idx="3">
                  <c:v>Mouse</c:v>
                </c:pt>
                <c:pt idx="4">
                  <c:v>Printer</c:v>
                </c:pt>
              </c:strCache>
            </c:strRef>
          </c:cat>
          <c:val>
            <c:numRef>
              <c:f>'pivot table'!$E$4:$E$9</c:f>
              <c:numCache>
                <c:formatCode>General</c:formatCode>
                <c:ptCount val="5"/>
                <c:pt idx="0">
                  <c:v>6000</c:v>
                </c:pt>
                <c:pt idx="1">
                  <c:v>145000</c:v>
                </c:pt>
                <c:pt idx="2">
                  <c:v>37000</c:v>
                </c:pt>
                <c:pt idx="3">
                  <c:v>3750</c:v>
                </c:pt>
                <c:pt idx="4">
                  <c:v>12500</c:v>
                </c:pt>
              </c:numCache>
            </c:numRef>
          </c:val>
          <c:extLst>
            <c:ext xmlns:c16="http://schemas.microsoft.com/office/drawing/2014/chart" uri="{C3380CC4-5D6E-409C-BE32-E72D297353CC}">
              <c16:uniqueId val="{00000000-775A-4193-BC7E-F7E8769D6F56}"/>
            </c:ext>
          </c:extLst>
        </c:ser>
        <c:dLbls>
          <c:showLegendKey val="0"/>
          <c:showVal val="0"/>
          <c:showCatName val="0"/>
          <c:showSerName val="0"/>
          <c:showPercent val="0"/>
          <c:showBubbleSize val="0"/>
        </c:dLbls>
        <c:gapWidth val="219"/>
        <c:overlap val="-27"/>
        <c:axId val="1778815296"/>
        <c:axId val="1506573024"/>
      </c:barChart>
      <c:catAx>
        <c:axId val="177881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573024"/>
        <c:crosses val="autoZero"/>
        <c:auto val="1"/>
        <c:lblAlgn val="ctr"/>
        <c:lblOffset val="100"/>
        <c:noMultiLvlLbl val="0"/>
      </c:catAx>
      <c:valAx>
        <c:axId val="150657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81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8575" cap="rnd">
              <a:solidFill>
                <a:schemeClr val="accent1"/>
              </a:solidFill>
              <a:round/>
            </a:ln>
            <a:effectLst/>
          </c:spPr>
          <c:marker>
            <c:symbol val="none"/>
          </c:marker>
          <c:cat>
            <c:strRef>
              <c:f>'pivot table'!$G$4:$G$8</c:f>
              <c:strCache>
                <c:ptCount val="4"/>
                <c:pt idx="0">
                  <c:v>Jan</c:v>
                </c:pt>
                <c:pt idx="1">
                  <c:v>Feb</c:v>
                </c:pt>
                <c:pt idx="2">
                  <c:v>Mar</c:v>
                </c:pt>
                <c:pt idx="3">
                  <c:v>Apr</c:v>
                </c:pt>
              </c:strCache>
            </c:strRef>
          </c:cat>
          <c:val>
            <c:numRef>
              <c:f>'pivot table'!$H$4:$H$8</c:f>
              <c:numCache>
                <c:formatCode>General</c:formatCode>
                <c:ptCount val="4"/>
                <c:pt idx="0">
                  <c:v>62000</c:v>
                </c:pt>
                <c:pt idx="1">
                  <c:v>58000</c:v>
                </c:pt>
                <c:pt idx="2">
                  <c:v>16250</c:v>
                </c:pt>
                <c:pt idx="3">
                  <c:v>68000</c:v>
                </c:pt>
              </c:numCache>
            </c:numRef>
          </c:val>
          <c:smooth val="0"/>
          <c:extLst>
            <c:ext xmlns:c16="http://schemas.microsoft.com/office/drawing/2014/chart" uri="{C3380CC4-5D6E-409C-BE32-E72D297353CC}">
              <c16:uniqueId val="{00000000-8F4A-42B0-AB37-DE2C6581DC42}"/>
            </c:ext>
          </c:extLst>
        </c:ser>
        <c:dLbls>
          <c:showLegendKey val="0"/>
          <c:showVal val="0"/>
          <c:showCatName val="0"/>
          <c:showSerName val="0"/>
          <c:showPercent val="0"/>
          <c:showBubbleSize val="0"/>
        </c:dLbls>
        <c:smooth val="0"/>
        <c:axId val="1756354224"/>
        <c:axId val="1506558144"/>
      </c:lineChart>
      <c:catAx>
        <c:axId val="175635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558144"/>
        <c:crosses val="autoZero"/>
        <c:auto val="1"/>
        <c:lblAlgn val="ctr"/>
        <c:lblOffset val="100"/>
        <c:noMultiLvlLbl val="0"/>
      </c:catAx>
      <c:valAx>
        <c:axId val="150655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35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solidFill>
              <a:schemeClr val="accent1"/>
            </a:solidFill>
            <a:ln>
              <a:noFill/>
            </a:ln>
            <a:effectLst/>
          </c:spPr>
          <c:invertIfNegative val="0"/>
          <c:cat>
            <c:strRef>
              <c:f>'pivot table'!$J$4:$J$11</c:f>
              <c:strCache>
                <c:ptCount val="7"/>
                <c:pt idx="0">
                  <c:v>Anna</c:v>
                </c:pt>
                <c:pt idx="1">
                  <c:v>Bea</c:v>
                </c:pt>
                <c:pt idx="2">
                  <c:v>Jacob</c:v>
                </c:pt>
                <c:pt idx="3">
                  <c:v>John</c:v>
                </c:pt>
                <c:pt idx="4">
                  <c:v>Luis</c:v>
                </c:pt>
                <c:pt idx="5">
                  <c:v>Maria</c:v>
                </c:pt>
                <c:pt idx="6">
                  <c:v>Mark</c:v>
                </c:pt>
              </c:strCache>
            </c:strRef>
          </c:cat>
          <c:val>
            <c:numRef>
              <c:f>'pivot table'!$K$4:$K$11</c:f>
              <c:numCache>
                <c:formatCode>General</c:formatCode>
                <c:ptCount val="7"/>
                <c:pt idx="0">
                  <c:v>52000</c:v>
                </c:pt>
                <c:pt idx="1">
                  <c:v>12500</c:v>
                </c:pt>
                <c:pt idx="2">
                  <c:v>65000</c:v>
                </c:pt>
                <c:pt idx="3">
                  <c:v>48000</c:v>
                </c:pt>
                <c:pt idx="4">
                  <c:v>6000</c:v>
                </c:pt>
                <c:pt idx="5">
                  <c:v>17000</c:v>
                </c:pt>
                <c:pt idx="6">
                  <c:v>3750</c:v>
                </c:pt>
              </c:numCache>
            </c:numRef>
          </c:val>
          <c:extLst>
            <c:ext xmlns:c16="http://schemas.microsoft.com/office/drawing/2014/chart" uri="{C3380CC4-5D6E-409C-BE32-E72D297353CC}">
              <c16:uniqueId val="{00000000-0791-40D5-87E5-646D7B9BA4C2}"/>
            </c:ext>
          </c:extLst>
        </c:ser>
        <c:dLbls>
          <c:showLegendKey val="0"/>
          <c:showVal val="0"/>
          <c:showCatName val="0"/>
          <c:showSerName val="0"/>
          <c:showPercent val="0"/>
          <c:showBubbleSize val="0"/>
        </c:dLbls>
        <c:gapWidth val="219"/>
        <c:overlap val="-27"/>
        <c:axId val="1772079456"/>
        <c:axId val="1506594624"/>
      </c:barChart>
      <c:catAx>
        <c:axId val="177207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594624"/>
        <c:crosses val="autoZero"/>
        <c:auto val="1"/>
        <c:lblAlgn val="ctr"/>
        <c:lblOffset val="100"/>
        <c:noMultiLvlLbl val="0"/>
      </c:catAx>
      <c:valAx>
        <c:axId val="1506594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07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14</xdr:row>
      <xdr:rowOff>76200</xdr:rowOff>
    </xdr:from>
    <xdr:to>
      <xdr:col>5</xdr:col>
      <xdr:colOff>571500</xdr:colOff>
      <xdr:row>28</xdr:row>
      <xdr:rowOff>152400</xdr:rowOff>
    </xdr:to>
    <xdr:graphicFrame macro="">
      <xdr:nvGraphicFramePr>
        <xdr:cNvPr id="2" name="Chart 1">
          <a:extLst>
            <a:ext uri="{FF2B5EF4-FFF2-40B4-BE49-F238E27FC236}">
              <a16:creationId xmlns:a16="http://schemas.microsoft.com/office/drawing/2014/main" id="{F398316B-BE3F-29A4-CE8A-47C643B3D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152400</xdr:colOff>
      <xdr:row>14</xdr:row>
      <xdr:rowOff>66675</xdr:rowOff>
    </xdr:from>
    <xdr:to>
      <xdr:col>12</xdr:col>
      <xdr:colOff>552450</xdr:colOff>
      <xdr:row>28</xdr:row>
      <xdr:rowOff>142875</xdr:rowOff>
    </xdr:to>
    <xdr:graphicFrame macro="">
      <xdr:nvGraphicFramePr>
        <xdr:cNvPr id="3" name="Chart 2">
          <a:extLst>
            <a:ext uri="{FF2B5EF4-FFF2-40B4-BE49-F238E27FC236}">
              <a16:creationId xmlns:a16="http://schemas.microsoft.com/office/drawing/2014/main" id="{CAA0425D-E492-DF33-2165-1303335DE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55469</xdr:colOff>
      <xdr:row>29</xdr:row>
      <xdr:rowOff>155762</xdr:rowOff>
    </xdr:from>
    <xdr:to>
      <xdr:col>5</xdr:col>
      <xdr:colOff>550770</xdr:colOff>
      <xdr:row>44</xdr:row>
      <xdr:rowOff>41462</xdr:rowOff>
    </xdr:to>
    <xdr:graphicFrame macro="">
      <xdr:nvGraphicFramePr>
        <xdr:cNvPr id="4" name="Chart 3">
          <a:extLst>
            <a:ext uri="{FF2B5EF4-FFF2-40B4-BE49-F238E27FC236}">
              <a16:creationId xmlns:a16="http://schemas.microsoft.com/office/drawing/2014/main" id="{75105153-00CA-90B0-0443-8685FF128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207307</xdr:colOff>
      <xdr:row>29</xdr:row>
      <xdr:rowOff>107577</xdr:rowOff>
    </xdr:from>
    <xdr:to>
      <xdr:col>12</xdr:col>
      <xdr:colOff>549087</xdr:colOff>
      <xdr:row>43</xdr:row>
      <xdr:rowOff>183777</xdr:rowOff>
    </xdr:to>
    <xdr:graphicFrame macro="">
      <xdr:nvGraphicFramePr>
        <xdr:cNvPr id="9" name="Chart 8">
          <a:extLst>
            <a:ext uri="{FF2B5EF4-FFF2-40B4-BE49-F238E27FC236}">
              <a16:creationId xmlns:a16="http://schemas.microsoft.com/office/drawing/2014/main" id="{74BDE1C7-8A19-9F07-68A3-F339EB267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73479</xdr:colOff>
      <xdr:row>13</xdr:row>
      <xdr:rowOff>102054</xdr:rowOff>
    </xdr:from>
    <xdr:to>
      <xdr:col>16</xdr:col>
      <xdr:colOff>65315</xdr:colOff>
      <xdr:row>27</xdr:row>
      <xdr:rowOff>102054</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70307107-615A-E73B-54E3-B18B53A9F78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646479" y="2578554"/>
              <a:ext cx="1828800"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87085</xdr:colOff>
      <xdr:row>28</xdr:row>
      <xdr:rowOff>183696</xdr:rowOff>
    </xdr:from>
    <xdr:to>
      <xdr:col>16</xdr:col>
      <xdr:colOff>78921</xdr:colOff>
      <xdr:row>42</xdr:row>
      <xdr:rowOff>183696</xdr:rowOff>
    </xdr:to>
    <mc:AlternateContent xmlns:mc="http://schemas.openxmlformats.org/markup-compatibility/2006">
      <mc:Choice xmlns:a14="http://schemas.microsoft.com/office/drawing/2010/main" Requires="a14">
        <xdr:graphicFrame macro="">
          <xdr:nvGraphicFramePr>
            <xdr:cNvPr id="11" name="Salesperson">
              <a:extLst>
                <a:ext uri="{FF2B5EF4-FFF2-40B4-BE49-F238E27FC236}">
                  <a16:creationId xmlns:a16="http://schemas.microsoft.com/office/drawing/2014/main" id="{BDC49A1B-B458-3324-2D8B-DB5FD1E1E5E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2660085" y="5517696"/>
              <a:ext cx="1828800"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52.832931944446" createdVersion="8" refreshedVersion="8" minRefreshableVersion="3" recordCount="8" xr:uid="{D4BE7671-2E69-44C4-9DA6-A0E24915316E}">
  <cacheSource type="worksheet">
    <worksheetSource name="Table1"/>
  </cacheSource>
  <cacheFields count="7">
    <cacheField name="Date" numFmtId="14">
      <sharedItems containsSemiMixedTypes="0" containsNonDate="0" containsDate="1" containsString="0" minDate="2026-01-05T00:00:00" maxDate="2026-04-11T00:00:00" count="8">
        <d v="2026-01-05T00:00:00"/>
        <d v="2026-01-12T00:00:00"/>
        <d v="2026-02-03T00:00:00"/>
        <d v="2026-02-11T00:00:00"/>
        <d v="2026-03-08T00:00:00"/>
        <d v="2026-03-15T00:00:00"/>
        <d v="2026-04-01T00:00:00"/>
        <d v="2026-04-10T00:00:00"/>
      </sharedItems>
      <fieldGroup par="6"/>
    </cacheField>
    <cacheField name="Region" numFmtId="0">
      <sharedItems count="4">
        <s v="North"/>
        <s v="South"/>
        <s v="East"/>
        <s v="West"/>
      </sharedItems>
    </cacheField>
    <cacheField name="Category" numFmtId="0">
      <sharedItems count="5">
        <s v="Laptop"/>
        <s v="Monitor"/>
        <s v="Keyboard"/>
        <s v="Mouse"/>
        <s v="Printer"/>
      </sharedItems>
    </cacheField>
    <cacheField name="Salesperson" numFmtId="0">
      <sharedItems count="7">
        <s v="Jacob"/>
        <s v="Maria"/>
        <s v="Luis"/>
        <s v="Anna"/>
        <s v="Mark"/>
        <s v="Bea"/>
        <s v="John"/>
      </sharedItems>
    </cacheField>
    <cacheField name="Sales" numFmtId="0">
      <sharedItems containsSemiMixedTypes="0" containsString="0" containsNumber="1" containsInteger="1" minValue="3750" maxValue="52000"/>
    </cacheField>
    <cacheField name="Days (Date)" numFmtId="0" databaseField="0">
      <fieldGroup base="0">
        <rangePr groupBy="days" startDate="2026-01-05T00:00:00" endDate="2026-04-11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4/2026"/>
        </groupItems>
      </fieldGroup>
    </cacheField>
    <cacheField name="Months (Date)" numFmtId="0" databaseField="0">
      <fieldGroup base="0">
        <rangePr groupBy="months" startDate="2026-01-05T00:00:00" endDate="2026-04-11T00:00:00"/>
        <groupItems count="14">
          <s v="&lt;05/01/2026"/>
          <s v="Jan"/>
          <s v="Feb"/>
          <s v="Mar"/>
          <s v="Apr"/>
          <s v="May"/>
          <s v="Jun"/>
          <s v="Jul"/>
          <s v="Aug"/>
          <s v="Sep"/>
          <s v="Oct"/>
          <s v="Nov"/>
          <s v="Dec"/>
          <s v="&gt;11/04/2026"/>
        </groupItems>
      </fieldGroup>
    </cacheField>
  </cacheFields>
  <extLst>
    <ext xmlns:x14="http://schemas.microsoft.com/office/spreadsheetml/2009/9/main" uri="{725AE2AE-9491-48be-B2B4-4EB974FC3084}">
      <x14:pivotCacheDefinition pivotCacheId="1851732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x v="0"/>
    <n v="45000"/>
  </r>
  <r>
    <x v="1"/>
    <x v="1"/>
    <x v="1"/>
    <x v="1"/>
    <n v="17000"/>
  </r>
  <r>
    <x v="2"/>
    <x v="0"/>
    <x v="2"/>
    <x v="2"/>
    <n v="6000"/>
  </r>
  <r>
    <x v="3"/>
    <x v="2"/>
    <x v="0"/>
    <x v="3"/>
    <n v="52000"/>
  </r>
  <r>
    <x v="4"/>
    <x v="3"/>
    <x v="3"/>
    <x v="4"/>
    <n v="3750"/>
  </r>
  <r>
    <x v="5"/>
    <x v="0"/>
    <x v="4"/>
    <x v="5"/>
    <n v="12500"/>
  </r>
  <r>
    <x v="6"/>
    <x v="1"/>
    <x v="0"/>
    <x v="6"/>
    <n v="48000"/>
  </r>
  <r>
    <x v="7"/>
    <x v="2"/>
    <x v="1"/>
    <x v="0"/>
    <n v="2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04D6F8-D44D-4703-BDD2-99DB548700A0}"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3:K11" firstHeaderRow="1" firstDataRow="1" firstDataCol="1"/>
  <pivotFields count="7">
    <pivotField numFmtId="14" showAll="0">
      <items count="9">
        <item x="0"/>
        <item x="1"/>
        <item x="2"/>
        <item x="3"/>
        <item x="4"/>
        <item x="5"/>
        <item x="6"/>
        <item x="7"/>
        <item t="default"/>
      </items>
    </pivotField>
    <pivotField showAll="0"/>
    <pivotField showAll="0">
      <items count="6">
        <item x="2"/>
        <item x="0"/>
        <item x="1"/>
        <item x="3"/>
        <item x="4"/>
        <item t="default"/>
      </items>
    </pivotField>
    <pivotField axis="axisRow" showAll="0">
      <items count="8">
        <item x="3"/>
        <item x="5"/>
        <item x="0"/>
        <item x="6"/>
        <item x="2"/>
        <item x="1"/>
        <item x="4"/>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8">
    <i>
      <x/>
    </i>
    <i>
      <x v="1"/>
    </i>
    <i>
      <x v="2"/>
    </i>
    <i>
      <x v="3"/>
    </i>
    <i>
      <x v="4"/>
    </i>
    <i>
      <x v="5"/>
    </i>
    <i>
      <x v="6"/>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E59AC3-EA3D-42FF-9919-8EA77FEFF267}"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3:H8" firstHeaderRow="1" firstDataRow="1" firstDataCol="1"/>
  <pivotFields count="7">
    <pivotField numFmtId="14" showAll="0">
      <items count="9">
        <item x="0"/>
        <item x="1"/>
        <item x="2"/>
        <item x="3"/>
        <item x="4"/>
        <item x="5"/>
        <item x="6"/>
        <item x="7"/>
        <item t="default"/>
      </items>
    </pivotField>
    <pivotField showAll="0"/>
    <pivotField showAll="0">
      <items count="6">
        <item x="2"/>
        <item x="0"/>
        <item x="1"/>
        <item x="3"/>
        <item x="4"/>
        <item t="default"/>
      </items>
    </pivotField>
    <pivotField showAll="0">
      <items count="8">
        <item x="3"/>
        <item x="5"/>
        <item x="0"/>
        <item x="6"/>
        <item x="2"/>
        <item x="1"/>
        <item x="4"/>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5">
    <i>
      <x v="1"/>
    </i>
    <i>
      <x v="2"/>
    </i>
    <i>
      <x v="3"/>
    </i>
    <i>
      <x v="4"/>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65ED3B-B14C-44A7-9382-65B50BB6EF90}"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3:E9" firstHeaderRow="1" firstDataRow="1" firstDataCol="1"/>
  <pivotFields count="7">
    <pivotField numFmtId="14" showAll="0">
      <items count="9">
        <item x="0"/>
        <item x="1"/>
        <item x="2"/>
        <item x="3"/>
        <item x="4"/>
        <item x="5"/>
        <item x="6"/>
        <item x="7"/>
        <item t="default"/>
      </items>
    </pivotField>
    <pivotField showAll="0"/>
    <pivotField axis="axisRow" showAll="0">
      <items count="6">
        <item x="2"/>
        <item x="0"/>
        <item x="1"/>
        <item x="3"/>
        <item x="4"/>
        <item t="default"/>
      </items>
    </pivotField>
    <pivotField showAll="0">
      <items count="8">
        <item x="3"/>
        <item x="5"/>
        <item x="0"/>
        <item x="6"/>
        <item x="2"/>
        <item x="1"/>
        <item x="4"/>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E7220A-F120-42BA-9C1A-C3E6E78F95D8}"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7">
    <pivotField numFmtId="14" showAll="0">
      <items count="9">
        <item x="0"/>
        <item x="1"/>
        <item x="2"/>
        <item x="3"/>
        <item x="4"/>
        <item x="5"/>
        <item x="6"/>
        <item x="7"/>
        <item t="default"/>
      </items>
    </pivotField>
    <pivotField axis="axisRow" showAll="0">
      <items count="5">
        <item x="2"/>
        <item x="0"/>
        <item x="1"/>
        <item x="3"/>
        <item t="default"/>
      </items>
    </pivotField>
    <pivotField showAll="0">
      <items count="6">
        <item x="2"/>
        <item x="0"/>
        <item x="1"/>
        <item x="3"/>
        <item x="4"/>
        <item t="default"/>
      </items>
    </pivotField>
    <pivotField showAll="0">
      <items count="8">
        <item x="3"/>
        <item x="5"/>
        <item x="0"/>
        <item x="6"/>
        <item x="2"/>
        <item x="1"/>
        <item x="4"/>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561B1B5-6101-4AEC-A826-20BE8D4F9BFB}" sourceName="Category">
  <pivotTables>
    <pivotTable tabId="4" name="PivotTable4"/>
    <pivotTable tabId="4" name="PivotTable5"/>
    <pivotTable tabId="4" name="PivotTable7"/>
    <pivotTable tabId="4" name="PivotTable8"/>
  </pivotTables>
  <data>
    <tabular pivotCacheId="1851732036">
      <items count="5">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DEA9AFAF-78F7-45BC-BD0F-FA62A3011F6B}" sourceName="Salesperson">
  <pivotTables>
    <pivotTable tabId="4" name="PivotTable4"/>
    <pivotTable tabId="4" name="PivotTable5"/>
    <pivotTable tabId="4" name="PivotTable7"/>
    <pivotTable tabId="4" name="PivotTable8"/>
  </pivotTables>
  <data>
    <tabular pivotCacheId="1851732036">
      <items count="7">
        <i x="3" s="1"/>
        <i x="5" s="1"/>
        <i x="0" s="1"/>
        <i x="6"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18C32D3-02CF-4C97-B92F-A70DB1E76288}" cache="Slicer_Category" caption="Category" rowHeight="257175"/>
  <slicer name="Salesperson" xr10:uid="{5A21B56F-D09B-4A84-BDAC-5721E623823E}" cache="Slicer_Salesperson" caption="Salespers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CBC5A1-B036-4E8F-8BBA-54CB90D6C01E}" name="Table1" displayName="Table1" ref="A1:E9" totalsRowShown="0" headerRowDxfId="0" dataDxfId="1">
  <autoFilter ref="A1:E9" xr:uid="{4ECBC5A1-B036-4E8F-8BBA-54CB90D6C01E}"/>
  <tableColumns count="5">
    <tableColumn id="1" xr3:uid="{8BE556F4-0434-46F8-9182-B955F8455B4E}" name="Date" dataDxfId="6"/>
    <tableColumn id="2" xr3:uid="{070CF078-371C-411B-9415-E58DB18B6F00}" name="Region" dataDxfId="5"/>
    <tableColumn id="3" xr3:uid="{838CA467-DFE9-4D4E-A9C7-83A2F23C9773}" name="Category" dataDxfId="4"/>
    <tableColumn id="4" xr3:uid="{538F5E19-3B0B-4192-A84E-CB7557D2B980}" name="Salesperson" dataDxfId="3"/>
    <tableColumn id="5" xr3:uid="{55B32A01-88C9-4E35-AD2C-A21A76FD0930}" name="Sale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3E432-ADB8-49E4-A0DB-CA7610C80554}">
  <dimension ref="A1:Q11"/>
  <sheetViews>
    <sheetView tabSelected="1" topLeftCell="B1" zoomScale="70" zoomScaleNormal="70" workbookViewId="0">
      <selection activeCell="A3" sqref="A3"/>
    </sheetView>
  </sheetViews>
  <sheetFormatPr defaultRowHeight="15" x14ac:dyDescent="0.25"/>
  <cols>
    <col min="1" max="1" width="17.85546875" bestFit="1" customWidth="1"/>
    <col min="2" max="2" width="16.7109375" bestFit="1" customWidth="1"/>
    <col min="4" max="4" width="17.85546875" bestFit="1" customWidth="1"/>
    <col min="5" max="5" width="16.7109375" bestFit="1" customWidth="1"/>
    <col min="7" max="7" width="17.85546875" bestFit="1" customWidth="1"/>
    <col min="8" max="8" width="16.7109375" bestFit="1" customWidth="1"/>
    <col min="10" max="10" width="17.85546875" bestFit="1" customWidth="1"/>
    <col min="11" max="11" width="16.7109375" bestFit="1" customWidth="1"/>
    <col min="13" max="13" width="13.140625" bestFit="1" customWidth="1"/>
  </cols>
  <sheetData>
    <row r="1" spans="1:17" x14ac:dyDescent="0.25">
      <c r="A1" s="16" t="s">
        <v>31</v>
      </c>
      <c r="B1" s="15"/>
      <c r="C1" s="15"/>
      <c r="D1" s="15"/>
      <c r="E1" s="15"/>
      <c r="F1" s="15"/>
      <c r="G1" s="15"/>
      <c r="H1" s="15"/>
      <c r="I1" s="15"/>
      <c r="J1" s="15"/>
      <c r="K1" s="15"/>
      <c r="L1" s="15"/>
      <c r="M1" s="15"/>
      <c r="N1" s="15"/>
      <c r="O1" s="15"/>
      <c r="P1" s="15"/>
      <c r="Q1" s="15"/>
    </row>
    <row r="2" spans="1:17" x14ac:dyDescent="0.25">
      <c r="A2" s="15"/>
      <c r="B2" s="15"/>
      <c r="C2" s="15"/>
      <c r="D2" s="15"/>
      <c r="E2" s="15"/>
      <c r="F2" s="15"/>
      <c r="G2" s="15"/>
      <c r="H2" s="15"/>
      <c r="I2" s="15"/>
      <c r="J2" s="15"/>
      <c r="K2" s="15"/>
      <c r="L2" s="15"/>
      <c r="M2" s="15"/>
      <c r="N2" s="15"/>
      <c r="O2" s="15"/>
      <c r="P2" s="15"/>
      <c r="Q2" s="15"/>
    </row>
    <row r="3" spans="1:17" x14ac:dyDescent="0.25">
      <c r="A3" s="7" t="s">
        <v>22</v>
      </c>
      <c r="B3" t="s">
        <v>21</v>
      </c>
      <c r="D3" s="7" t="s">
        <v>22</v>
      </c>
      <c r="E3" t="s">
        <v>21</v>
      </c>
      <c r="G3" s="7" t="s">
        <v>22</v>
      </c>
      <c r="H3" t="s">
        <v>21</v>
      </c>
      <c r="J3" s="7" t="s">
        <v>22</v>
      </c>
      <c r="K3" t="s">
        <v>21</v>
      </c>
    </row>
    <row r="4" spans="1:17" x14ac:dyDescent="0.25">
      <c r="A4" s="8" t="s">
        <v>13</v>
      </c>
      <c r="B4" s="6">
        <v>72000</v>
      </c>
      <c r="D4" s="8" t="s">
        <v>11</v>
      </c>
      <c r="E4" s="6">
        <v>6000</v>
      </c>
      <c r="G4" s="8" t="s">
        <v>24</v>
      </c>
      <c r="H4" s="6">
        <v>62000</v>
      </c>
      <c r="J4" s="8" t="s">
        <v>14</v>
      </c>
      <c r="K4" s="6">
        <v>52000</v>
      </c>
      <c r="M4" s="9" t="s">
        <v>28</v>
      </c>
      <c r="N4" s="10">
        <f>SUM(Table1[Sales])</f>
        <v>204250</v>
      </c>
    </row>
    <row r="5" spans="1:17" x14ac:dyDescent="0.25">
      <c r="A5" s="8" t="s">
        <v>5</v>
      </c>
      <c r="B5" s="6">
        <v>63500</v>
      </c>
      <c r="D5" s="8" t="s">
        <v>6</v>
      </c>
      <c r="E5" s="6">
        <v>145000</v>
      </c>
      <c r="G5" s="8" t="s">
        <v>25</v>
      </c>
      <c r="H5" s="6">
        <v>58000</v>
      </c>
      <c r="J5" s="8" t="s">
        <v>19</v>
      </c>
      <c r="K5" s="6">
        <v>12500</v>
      </c>
      <c r="M5" s="11" t="s">
        <v>29</v>
      </c>
      <c r="N5" s="12">
        <f>AVERAGE(Table1[Sales])</f>
        <v>25531.25</v>
      </c>
    </row>
    <row r="6" spans="1:17" x14ac:dyDescent="0.25">
      <c r="A6" s="8" t="s">
        <v>8</v>
      </c>
      <c r="B6" s="6">
        <v>65000</v>
      </c>
      <c r="D6" s="8" t="s">
        <v>9</v>
      </c>
      <c r="E6" s="6">
        <v>37000</v>
      </c>
      <c r="G6" s="8" t="s">
        <v>26</v>
      </c>
      <c r="H6" s="6">
        <v>16250</v>
      </c>
      <c r="J6" s="8" t="s">
        <v>7</v>
      </c>
      <c r="K6" s="6">
        <v>65000</v>
      </c>
      <c r="M6" s="13" t="s">
        <v>30</v>
      </c>
      <c r="N6" s="14">
        <f>MAX(Table1[Sales])</f>
        <v>52000</v>
      </c>
    </row>
    <row r="7" spans="1:17" x14ac:dyDescent="0.25">
      <c r="A7" s="8" t="s">
        <v>15</v>
      </c>
      <c r="B7" s="6">
        <v>3750</v>
      </c>
      <c r="D7" s="8" t="s">
        <v>16</v>
      </c>
      <c r="E7" s="6">
        <v>3750</v>
      </c>
      <c r="G7" s="8" t="s">
        <v>27</v>
      </c>
      <c r="H7" s="6">
        <v>68000</v>
      </c>
      <c r="J7" s="8" t="s">
        <v>20</v>
      </c>
      <c r="K7" s="6">
        <v>48000</v>
      </c>
    </row>
    <row r="8" spans="1:17" x14ac:dyDescent="0.25">
      <c r="A8" s="8" t="s">
        <v>23</v>
      </c>
      <c r="B8" s="6">
        <v>204250</v>
      </c>
      <c r="D8" s="8" t="s">
        <v>18</v>
      </c>
      <c r="E8" s="6">
        <v>12500</v>
      </c>
      <c r="G8" s="8" t="s">
        <v>23</v>
      </c>
      <c r="H8" s="6">
        <v>204250</v>
      </c>
      <c r="J8" s="8" t="s">
        <v>12</v>
      </c>
      <c r="K8" s="6">
        <v>6000</v>
      </c>
    </row>
    <row r="9" spans="1:17" x14ac:dyDescent="0.25">
      <c r="D9" s="8" t="s">
        <v>23</v>
      </c>
      <c r="E9" s="6">
        <v>204250</v>
      </c>
      <c r="J9" s="8" t="s">
        <v>10</v>
      </c>
      <c r="K9" s="6">
        <v>17000</v>
      </c>
    </row>
    <row r="10" spans="1:17" x14ac:dyDescent="0.25">
      <c r="J10" s="8" t="s">
        <v>17</v>
      </c>
      <c r="K10" s="6">
        <v>3750</v>
      </c>
    </row>
    <row r="11" spans="1:17" x14ac:dyDescent="0.25">
      <c r="J11" s="8" t="s">
        <v>23</v>
      </c>
      <c r="K11" s="6">
        <v>204250</v>
      </c>
    </row>
  </sheetData>
  <dataConsolidate/>
  <mergeCells count="1">
    <mergeCell ref="A1:Q2"/>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2449A-5A4F-402F-9502-40810C0B9C9C}">
  <dimension ref="A1:H9"/>
  <sheetViews>
    <sheetView workbookViewId="0">
      <selection activeCell="G2" sqref="G2:H4"/>
    </sheetView>
  </sheetViews>
  <sheetFormatPr defaultRowHeight="15" x14ac:dyDescent="0.25"/>
  <cols>
    <col min="1" max="1" width="10.42578125" bestFit="1" customWidth="1"/>
    <col min="2" max="2" width="9.42578125" customWidth="1"/>
    <col min="3" max="3" width="11.28515625" customWidth="1"/>
    <col min="4" max="4" width="14.28515625" customWidth="1"/>
    <col min="7" max="7" width="13.140625" bestFit="1" customWidth="1"/>
  </cols>
  <sheetData>
    <row r="1" spans="1:8" x14ac:dyDescent="0.25">
      <c r="A1" s="1" t="s">
        <v>0</v>
      </c>
      <c r="B1" s="1" t="s">
        <v>1</v>
      </c>
      <c r="C1" s="1" t="s">
        <v>2</v>
      </c>
      <c r="D1" s="1" t="s">
        <v>3</v>
      </c>
      <c r="E1" s="3" t="s">
        <v>4</v>
      </c>
    </row>
    <row r="2" spans="1:8" x14ac:dyDescent="0.25">
      <c r="A2" s="4">
        <v>46027</v>
      </c>
      <c r="B2" s="5" t="s">
        <v>5</v>
      </c>
      <c r="C2" s="5" t="s">
        <v>6</v>
      </c>
      <c r="D2" s="5" t="s">
        <v>7</v>
      </c>
      <c r="E2" s="2">
        <v>45000</v>
      </c>
      <c r="G2" t="s">
        <v>28</v>
      </c>
      <c r="H2">
        <f>SUM(Table1[Sales])</f>
        <v>204250</v>
      </c>
    </row>
    <row r="3" spans="1:8" x14ac:dyDescent="0.25">
      <c r="A3" s="4">
        <v>46034</v>
      </c>
      <c r="B3" s="5" t="s">
        <v>8</v>
      </c>
      <c r="C3" s="5" t="s">
        <v>9</v>
      </c>
      <c r="D3" s="5" t="s">
        <v>10</v>
      </c>
      <c r="E3" s="2">
        <v>17000</v>
      </c>
      <c r="G3" t="s">
        <v>29</v>
      </c>
      <c r="H3">
        <f>AVERAGE(Table1[Sales])</f>
        <v>25531.25</v>
      </c>
    </row>
    <row r="4" spans="1:8" x14ac:dyDescent="0.25">
      <c r="A4" s="4">
        <v>46056</v>
      </c>
      <c r="B4" s="5" t="s">
        <v>5</v>
      </c>
      <c r="C4" s="5" t="s">
        <v>11</v>
      </c>
      <c r="D4" s="5" t="s">
        <v>12</v>
      </c>
      <c r="E4" s="2">
        <v>6000</v>
      </c>
      <c r="G4" t="s">
        <v>30</v>
      </c>
      <c r="H4">
        <f>MAX(Table1[Sales])</f>
        <v>52000</v>
      </c>
    </row>
    <row r="5" spans="1:8" x14ac:dyDescent="0.25">
      <c r="A5" s="4">
        <v>46064</v>
      </c>
      <c r="B5" s="5" t="s">
        <v>13</v>
      </c>
      <c r="C5" s="5" t="s">
        <v>6</v>
      </c>
      <c r="D5" s="5" t="s">
        <v>14</v>
      </c>
      <c r="E5" s="2">
        <v>52000</v>
      </c>
    </row>
    <row r="6" spans="1:8" x14ac:dyDescent="0.25">
      <c r="A6" s="4">
        <v>46089</v>
      </c>
      <c r="B6" s="5" t="s">
        <v>15</v>
      </c>
      <c r="C6" s="5" t="s">
        <v>16</v>
      </c>
      <c r="D6" s="5" t="s">
        <v>17</v>
      </c>
      <c r="E6" s="2">
        <v>3750</v>
      </c>
    </row>
    <row r="7" spans="1:8" x14ac:dyDescent="0.25">
      <c r="A7" s="4">
        <v>46096</v>
      </c>
      <c r="B7" s="5" t="s">
        <v>5</v>
      </c>
      <c r="C7" s="5" t="s">
        <v>18</v>
      </c>
      <c r="D7" s="5" t="s">
        <v>19</v>
      </c>
      <c r="E7" s="2">
        <v>12500</v>
      </c>
    </row>
    <row r="8" spans="1:8" x14ac:dyDescent="0.25">
      <c r="A8" s="4">
        <v>46113</v>
      </c>
      <c r="B8" s="5" t="s">
        <v>8</v>
      </c>
      <c r="C8" s="5" t="s">
        <v>6</v>
      </c>
      <c r="D8" s="5" t="s">
        <v>20</v>
      </c>
      <c r="E8" s="2">
        <v>48000</v>
      </c>
    </row>
    <row r="9" spans="1:8" x14ac:dyDescent="0.25">
      <c r="A9" s="4">
        <v>46122</v>
      </c>
      <c r="B9" s="5" t="s">
        <v>13</v>
      </c>
      <c r="C9" s="5" t="s">
        <v>9</v>
      </c>
      <c r="D9" s="5" t="s">
        <v>7</v>
      </c>
      <c r="E9" s="2">
        <v>20000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JACOB RILEY</dc:creator>
  <cp:lastModifiedBy>FERNANDEZ, JACOB RILEY</cp:lastModifiedBy>
  <dcterms:created xsi:type="dcterms:W3CDTF">2026-08-18T11:53:30Z</dcterms:created>
  <dcterms:modified xsi:type="dcterms:W3CDTF">2026-08-18T12:19:30Z</dcterms:modified>
</cp:coreProperties>
</file>