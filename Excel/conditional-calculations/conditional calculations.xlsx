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Excel\conditional-calculations\"/>
    </mc:Choice>
  </mc:AlternateContent>
  <xr:revisionPtr revIDLastSave="0" documentId="13_ncr:1_{AACDF448-40BE-4E32-96B6-2E025638FB77}" xr6:coauthVersionLast="47" xr6:coauthVersionMax="47" xr10:uidLastSave="{00000000-0000-0000-0000-000000000000}"/>
  <bookViews>
    <workbookView xWindow="-120" yWindow="-120" windowWidth="21840" windowHeight="13140" firstSheet="1" activeTab="1" xr2:uid="{AB0329B6-7642-411A-B141-C0D22BDC8FB8}"/>
  </bookViews>
  <sheets>
    <sheet name="conditional-calculations" sheetId="1" r:id="rId1"/>
    <sheet name="item-calcula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3" l="1"/>
  <c r="H5" i="3"/>
  <c r="H4" i="3"/>
  <c r="H3" i="3"/>
  <c r="H2" i="3"/>
  <c r="H9" i="1"/>
  <c r="H8" i="1"/>
  <c r="H7" i="1"/>
  <c r="H4" i="1"/>
  <c r="H3" i="1"/>
  <c r="K4" i="1"/>
  <c r="H6" i="1"/>
  <c r="H5" i="1"/>
  <c r="H2" i="1"/>
</calcChain>
</file>

<file path=xl/sharedStrings.xml><?xml version="1.0" encoding="utf-8"?>
<sst xmlns="http://schemas.openxmlformats.org/spreadsheetml/2006/main" count="76" uniqueCount="48">
  <si>
    <t>Department</t>
  </si>
  <si>
    <t>Employee</t>
  </si>
  <si>
    <t>Status</t>
  </si>
  <si>
    <t>Salary</t>
  </si>
  <si>
    <t>Score</t>
  </si>
  <si>
    <t>IT</t>
  </si>
  <si>
    <t>Jacob</t>
  </si>
  <si>
    <t>Active</t>
  </si>
  <si>
    <t>Maria</t>
  </si>
  <si>
    <t>HR</t>
  </si>
  <si>
    <t>Anna</t>
  </si>
  <si>
    <t>Sales</t>
  </si>
  <si>
    <t>Mark</t>
  </si>
  <si>
    <t>Inactive</t>
  </si>
  <si>
    <t>Luis</t>
  </si>
  <si>
    <t>Bea</t>
  </si>
  <si>
    <t>John</t>
  </si>
  <si>
    <t>Total IT Salary</t>
  </si>
  <si>
    <t>Active IT Count</t>
  </si>
  <si>
    <t>Average IT Score</t>
  </si>
  <si>
    <t>Total Active Salary</t>
  </si>
  <si>
    <t>Active HR Count</t>
  </si>
  <si>
    <t>Total Salary</t>
  </si>
  <si>
    <t>AverageSales Score</t>
  </si>
  <si>
    <t>Employee Scored &gt;=80</t>
  </si>
  <si>
    <t>Category</t>
  </si>
  <si>
    <t>Item</t>
  </si>
  <si>
    <t>Cost</t>
  </si>
  <si>
    <t>Quantity</t>
  </si>
  <si>
    <t>Computer</t>
  </si>
  <si>
    <t>Laptop</t>
  </si>
  <si>
    <t>Available</t>
  </si>
  <si>
    <t>Desktop</t>
  </si>
  <si>
    <t>Maintenance</t>
  </si>
  <si>
    <t>Furniture</t>
  </si>
  <si>
    <t>Chair</t>
  </si>
  <si>
    <t>Desk</t>
  </si>
  <si>
    <t>Printer</t>
  </si>
  <si>
    <t>Laser Printer</t>
  </si>
  <si>
    <t>Monitor</t>
  </si>
  <si>
    <t>Ink Printer</t>
  </si>
  <si>
    <t>Cabinet</t>
  </si>
  <si>
    <t>Keyboard</t>
  </si>
  <si>
    <t>Count of maintenance items</t>
  </si>
  <si>
    <t>Total Available Cost Items</t>
  </si>
  <si>
    <t>Average Cost of Computer</t>
  </si>
  <si>
    <t>Total Quantity of Furniture</t>
  </si>
  <si>
    <t>Total Cost of 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</si>
</sst>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35E7-9BAE-454F-9BBD-5F9DAC57769E}">
  <dimension ref="A1:K10"/>
  <sheetViews>
    <sheetView workbookViewId="0">
      <selection sqref="A1:E9"/>
    </sheetView>
  </sheetViews>
  <sheetFormatPr defaultRowHeight="15" x14ac:dyDescent="0.25"/>
  <cols>
    <col min="1" max="1" width="13.42578125" customWidth="1"/>
    <col min="2" max="2" width="10" bestFit="1" customWidth="1"/>
    <col min="7" max="7" width="21.5703125" bestFit="1" customWidth="1"/>
    <col min="8" max="8" width="9.85546875" bestFit="1" customWidth="1"/>
    <col min="9" max="9" width="11.42578125" bestFit="1" customWidth="1"/>
    <col min="10" max="10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G1" s="4"/>
    </row>
    <row r="2" spans="1:11" ht="30" x14ac:dyDescent="0.25">
      <c r="A2" s="4" t="s">
        <v>5</v>
      </c>
      <c r="B2" s="4" t="s">
        <v>6</v>
      </c>
      <c r="C2" s="4" t="s">
        <v>7</v>
      </c>
      <c r="D2" s="2">
        <v>25000</v>
      </c>
      <c r="E2" s="2">
        <v>92</v>
      </c>
      <c r="G2" s="5" t="s">
        <v>17</v>
      </c>
      <c r="H2">
        <f>SUMIFS(D2:D8,A2:A8,"IT")</f>
        <v>74000</v>
      </c>
      <c r="J2" s="6" t="s">
        <v>0</v>
      </c>
      <c r="K2" s="4" t="s">
        <v>5</v>
      </c>
    </row>
    <row r="3" spans="1:11" x14ac:dyDescent="0.25">
      <c r="A3" s="4" t="s">
        <v>5</v>
      </c>
      <c r="B3" s="4" t="s">
        <v>8</v>
      </c>
      <c r="C3" s="4" t="s">
        <v>7</v>
      </c>
      <c r="D3" s="2">
        <v>22000</v>
      </c>
      <c r="E3" s="2">
        <v>88</v>
      </c>
      <c r="G3" s="5" t="s">
        <v>18</v>
      </c>
      <c r="H3">
        <f>COUNTIFS(A2:A8,"IT",C2:C8,"Active")</f>
        <v>3</v>
      </c>
      <c r="J3" s="6" t="s">
        <v>2</v>
      </c>
      <c r="K3" s="4" t="s">
        <v>7</v>
      </c>
    </row>
    <row r="4" spans="1:11" x14ac:dyDescent="0.25">
      <c r="A4" s="4" t="s">
        <v>9</v>
      </c>
      <c r="B4" s="4" t="s">
        <v>10</v>
      </c>
      <c r="C4" s="4" t="s">
        <v>7</v>
      </c>
      <c r="D4" s="2">
        <v>18000</v>
      </c>
      <c r="E4" s="2">
        <v>81</v>
      </c>
      <c r="G4" s="5" t="s">
        <v>19</v>
      </c>
      <c r="H4">
        <f>AVERAGEIFS(E2:E8,A2:A8,"IT")</f>
        <v>91.666666666666671</v>
      </c>
      <c r="J4" s="5" t="s">
        <v>22</v>
      </c>
      <c r="K4">
        <f>SUMIFS(D2:D8, A2:A8, K2, C2:C8, K3)</f>
        <v>74000</v>
      </c>
    </row>
    <row r="5" spans="1:11" x14ac:dyDescent="0.25">
      <c r="A5" s="4" t="s">
        <v>11</v>
      </c>
      <c r="B5" s="4" t="s">
        <v>12</v>
      </c>
      <c r="C5" s="4" t="s">
        <v>13</v>
      </c>
      <c r="D5" s="2">
        <v>20000</v>
      </c>
      <c r="E5" s="2">
        <v>74</v>
      </c>
      <c r="G5" s="5" t="s">
        <v>20</v>
      </c>
      <c r="H5">
        <f>SUMIFS(D2:D8,C2:C8,"Active")</f>
        <v>132000</v>
      </c>
    </row>
    <row r="6" spans="1:11" x14ac:dyDescent="0.25">
      <c r="A6" s="4" t="s">
        <v>5</v>
      </c>
      <c r="B6" s="4" t="s">
        <v>14</v>
      </c>
      <c r="C6" s="4" t="s">
        <v>7</v>
      </c>
      <c r="D6" s="2">
        <v>27000</v>
      </c>
      <c r="E6" s="2">
        <v>95</v>
      </c>
      <c r="G6" s="5" t="s">
        <v>21</v>
      </c>
      <c r="H6">
        <f>COUNTIFS(A2:A8,"HR",C2:C8,"Active")</f>
        <v>2</v>
      </c>
    </row>
    <row r="7" spans="1:11" x14ac:dyDescent="0.25">
      <c r="A7" s="4" t="s">
        <v>9</v>
      </c>
      <c r="B7" s="4" t="s">
        <v>15</v>
      </c>
      <c r="C7" s="4" t="s">
        <v>7</v>
      </c>
      <c r="D7" s="2">
        <v>19000</v>
      </c>
      <c r="E7" s="2">
        <v>79</v>
      </c>
      <c r="G7" s="5" t="s">
        <v>23</v>
      </c>
      <c r="H7">
        <f>AVERAGEIFS(E2:E8,A2:A8,"Sales")</f>
        <v>79</v>
      </c>
    </row>
    <row r="8" spans="1:11" x14ac:dyDescent="0.25">
      <c r="A8" s="4" t="s">
        <v>11</v>
      </c>
      <c r="B8" s="4" t="s">
        <v>16</v>
      </c>
      <c r="C8" s="4" t="s">
        <v>7</v>
      </c>
      <c r="D8" s="2">
        <v>21000</v>
      </c>
      <c r="E8" s="2">
        <v>84</v>
      </c>
      <c r="G8" s="5" t="s">
        <v>22</v>
      </c>
      <c r="H8">
        <f>SUMIF(C2:C8,C2,D2:D8)</f>
        <v>132000</v>
      </c>
    </row>
    <row r="9" spans="1:11" x14ac:dyDescent="0.25">
      <c r="G9" s="5" t="s">
        <v>24</v>
      </c>
      <c r="H9">
        <f>COUNTIFS(E2:E8, "&gt;=80")</f>
        <v>5</v>
      </c>
    </row>
    <row r="10" spans="1:11" x14ac:dyDescent="0.25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3256-4A71-4082-B90D-2D2E2447C322}">
  <dimension ref="A1:H10"/>
  <sheetViews>
    <sheetView tabSelected="1" topLeftCell="A3" workbookViewId="0">
      <selection activeCell="G8" sqref="G8"/>
    </sheetView>
  </sheetViews>
  <sheetFormatPr defaultRowHeight="15" x14ac:dyDescent="0.25"/>
  <cols>
    <col min="1" max="1" width="9.5703125" bestFit="1" customWidth="1"/>
    <col min="2" max="2" width="10.5703125" customWidth="1"/>
    <col min="3" max="3" width="12.42578125" customWidth="1"/>
    <col min="7" max="7" width="30.28515625" bestFit="1" customWidth="1"/>
  </cols>
  <sheetData>
    <row r="1" spans="1:8" x14ac:dyDescent="0.25">
      <c r="A1" s="1" t="s">
        <v>25</v>
      </c>
      <c r="B1" s="1" t="s">
        <v>26</v>
      </c>
      <c r="C1" s="1" t="s">
        <v>2</v>
      </c>
      <c r="D1" s="1" t="s">
        <v>27</v>
      </c>
      <c r="E1" s="1" t="s">
        <v>28</v>
      </c>
    </row>
    <row r="2" spans="1:8" ht="16.5" x14ac:dyDescent="0.25">
      <c r="A2" s="4" t="s">
        <v>29</v>
      </c>
      <c r="B2" s="4" t="s">
        <v>30</v>
      </c>
      <c r="C2" s="4" t="s">
        <v>31</v>
      </c>
      <c r="D2" s="4">
        <v>1200</v>
      </c>
      <c r="E2" s="4">
        <v>5</v>
      </c>
      <c r="G2" s="7" t="s">
        <v>44</v>
      </c>
      <c r="H2">
        <f>SUMIFS(D2:D10,C2:C10,"Available")</f>
        <v>1950</v>
      </c>
    </row>
    <row r="3" spans="1:8" ht="30" x14ac:dyDescent="0.25">
      <c r="A3" s="4" t="s">
        <v>29</v>
      </c>
      <c r="B3" s="4" t="s">
        <v>32</v>
      </c>
      <c r="C3" s="4" t="s">
        <v>33</v>
      </c>
      <c r="D3" s="4">
        <v>900</v>
      </c>
      <c r="E3" s="4">
        <v>2</v>
      </c>
      <c r="G3" s="7" t="s">
        <v>43</v>
      </c>
      <c r="H3">
        <f>COUNTIF(C2:C10,"Maintenance")</f>
        <v>3</v>
      </c>
    </row>
    <row r="4" spans="1:8" ht="16.5" x14ac:dyDescent="0.25">
      <c r="A4" s="4" t="s">
        <v>34</v>
      </c>
      <c r="B4" s="4" t="s">
        <v>35</v>
      </c>
      <c r="C4" s="4" t="s">
        <v>31</v>
      </c>
      <c r="D4" s="4">
        <v>80</v>
      </c>
      <c r="E4" s="4">
        <v>20</v>
      </c>
      <c r="G4" s="7" t="s">
        <v>45</v>
      </c>
      <c r="H4">
        <f>AVERAGEIF(A2:A10,"Computer",D2:D10)</f>
        <v>597.5</v>
      </c>
    </row>
    <row r="5" spans="1:8" ht="16.5" x14ac:dyDescent="0.25">
      <c r="A5" s="4" t="s">
        <v>34</v>
      </c>
      <c r="B5" s="4" t="s">
        <v>36</v>
      </c>
      <c r="C5" s="4" t="s">
        <v>31</v>
      </c>
      <c r="D5" s="4">
        <v>200</v>
      </c>
      <c r="E5" s="4">
        <v>10</v>
      </c>
      <c r="G5" s="7" t="s">
        <v>46</v>
      </c>
      <c r="H5">
        <f>SUMIF(A2:A10,"Furniture",E2:E10)</f>
        <v>34</v>
      </c>
    </row>
    <row r="6" spans="1:8" ht="30" x14ac:dyDescent="0.25">
      <c r="A6" s="4" t="s">
        <v>37</v>
      </c>
      <c r="B6" s="4" t="s">
        <v>38</v>
      </c>
      <c r="C6" s="4" t="s">
        <v>33</v>
      </c>
      <c r="D6" s="4">
        <v>350</v>
      </c>
      <c r="E6" s="4">
        <v>3</v>
      </c>
      <c r="G6" s="7" t="s">
        <v>47</v>
      </c>
      <c r="H6">
        <f>SUMIFS(D2:D10,A2:A10,"Computer",C2:C10,"Available")</f>
        <v>1490</v>
      </c>
    </row>
    <row r="7" spans="1:8" x14ac:dyDescent="0.25">
      <c r="A7" s="4" t="s">
        <v>29</v>
      </c>
      <c r="B7" s="4" t="s">
        <v>39</v>
      </c>
      <c r="C7" s="4" t="s">
        <v>31</v>
      </c>
      <c r="D7" s="4">
        <v>250</v>
      </c>
      <c r="E7" s="4">
        <v>8</v>
      </c>
    </row>
    <row r="8" spans="1:8" ht="30" x14ac:dyDescent="0.25">
      <c r="A8" s="4" t="s">
        <v>37</v>
      </c>
      <c r="B8" s="4" t="s">
        <v>40</v>
      </c>
      <c r="C8" s="4" t="s">
        <v>31</v>
      </c>
      <c r="D8" s="4">
        <v>180</v>
      </c>
      <c r="E8" s="4">
        <v>6</v>
      </c>
    </row>
    <row r="9" spans="1:8" ht="30" x14ac:dyDescent="0.25">
      <c r="A9" s="4" t="s">
        <v>34</v>
      </c>
      <c r="B9" s="4" t="s">
        <v>41</v>
      </c>
      <c r="C9" s="4" t="s">
        <v>33</v>
      </c>
      <c r="D9" s="4">
        <v>150</v>
      </c>
      <c r="E9" s="4">
        <v>4</v>
      </c>
    </row>
    <row r="10" spans="1:8" ht="30" x14ac:dyDescent="0.25">
      <c r="A10" s="4" t="s">
        <v>29</v>
      </c>
      <c r="B10" s="4" t="s">
        <v>42</v>
      </c>
      <c r="C10" s="4" t="s">
        <v>31</v>
      </c>
      <c r="D10" s="4">
        <v>40</v>
      </c>
      <c r="E10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conditional-calculations</vt:lpstr>
      <vt:lpstr>item-calculations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2026-08-11T11:14:15Z</dcterms:created>
  <dcterms:modified xsi:type="dcterms:W3CDTF">2026-08-11T11:37:55Z</dcterms:modified>
</cp:coreProperties>
</file>