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Excel\equipment-inventory\"/>
    </mc:Choice>
  </mc:AlternateContent>
  <xr:revisionPtr revIDLastSave="0" documentId="13_ncr:1_{90A3DC59-9BCD-4305-9253-7D95B72CB485}" xr6:coauthVersionLast="47" xr6:coauthVersionMax="47" xr10:uidLastSave="{00000000-0000-0000-0000-000000000000}"/>
  <bookViews>
    <workbookView xWindow="-120" yWindow="-120" windowWidth="21840" windowHeight="13140" firstSheet="1" activeTab="1" xr2:uid="{44825BEF-82BB-4C78-8F06-782BD48BBF2F}"/>
  </bookViews>
  <sheets>
    <sheet name="Inventory" sheetId="1" r:id="rId1"/>
    <sheet name="Cost Analysis" sheetId="4" r:id="rId2"/>
    <sheet name="Analysis" sheetId="3" r:id="rId3"/>
    <sheet name="Documentatio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4" l="1"/>
  <c r="K14" i="4"/>
  <c r="K13" i="4"/>
  <c r="K8" i="4"/>
  <c r="K9" i="4"/>
  <c r="K10" i="4"/>
  <c r="K11" i="4"/>
  <c r="K12" i="4"/>
  <c r="D10" i="4"/>
  <c r="E10" i="4" s="1"/>
  <c r="D11" i="4"/>
  <c r="E11" i="4" s="1"/>
  <c r="D6" i="4"/>
  <c r="D7" i="4"/>
  <c r="D9" i="4"/>
  <c r="E9" i="4" s="1"/>
  <c r="D8" i="4"/>
  <c r="E8" i="4" s="1"/>
  <c r="F8" i="4" s="1"/>
  <c r="D5" i="4"/>
  <c r="F10" i="4" l="1"/>
  <c r="F9" i="4"/>
  <c r="E5" i="4"/>
  <c r="E7" i="4"/>
  <c r="F7" i="4" s="1"/>
  <c r="E6" i="4"/>
  <c r="F6" i="4" s="1"/>
  <c r="F11" i="4"/>
  <c r="F5" i="4"/>
  <c r="D4" i="4"/>
  <c r="E4" i="4" s="1"/>
  <c r="E12" i="4" s="1"/>
  <c r="F4" i="4" l="1"/>
  <c r="D12" i="4"/>
  <c r="B16" i="4" l="1"/>
  <c r="B15" i="4"/>
  <c r="F12" i="4"/>
  <c r="G4" i="4" s="1"/>
  <c r="B14" i="4"/>
  <c r="B17" i="4"/>
  <c r="G7" i="4" l="1"/>
  <c r="G5" i="4"/>
  <c r="G11" i="4"/>
  <c r="G8" i="4"/>
  <c r="G6" i="4"/>
  <c r="G10" i="4"/>
  <c r="K4" i="4"/>
  <c r="G9" i="4"/>
</calcChain>
</file>

<file path=xl/sharedStrings.xml><?xml version="1.0" encoding="utf-8"?>
<sst xmlns="http://schemas.openxmlformats.org/spreadsheetml/2006/main" count="189" uniqueCount="135">
  <si>
    <t>Asset ID</t>
  </si>
  <si>
    <t>Item Name</t>
  </si>
  <si>
    <t>Category</t>
  </si>
  <si>
    <t>Brand</t>
  </si>
  <si>
    <t>Purchase Date</t>
  </si>
  <si>
    <t>Cost</t>
  </si>
  <si>
    <t>Condition</t>
  </si>
  <si>
    <t>Assigned To</t>
  </si>
  <si>
    <t>Department</t>
  </si>
  <si>
    <t>Status</t>
  </si>
  <si>
    <t>IT-001</t>
  </si>
  <si>
    <t>Laptop</t>
  </si>
  <si>
    <t>Computer</t>
  </si>
  <si>
    <t>Lenovo</t>
  </si>
  <si>
    <t>Good</t>
  </si>
  <si>
    <t>Ana Cruz</t>
  </si>
  <si>
    <t>IT-002</t>
  </si>
  <si>
    <t>Monitor</t>
  </si>
  <si>
    <t>Display</t>
  </si>
  <si>
    <t>Samsung</t>
  </si>
  <si>
    <t>Mark Reyes</t>
  </si>
  <si>
    <t>IT-003</t>
  </si>
  <si>
    <t>Keyboard</t>
  </si>
  <si>
    <t>Peripheral</t>
  </si>
  <si>
    <t>Logitech</t>
  </si>
  <si>
    <t>Excellent</t>
  </si>
  <si>
    <t>Unassigned</t>
  </si>
  <si>
    <t>IT-004</t>
  </si>
  <si>
    <t>Desktop Computer</t>
  </si>
  <si>
    <t>Dell</t>
  </si>
  <si>
    <t>Fair</t>
  </si>
  <si>
    <t>Carlo Santos</t>
  </si>
  <si>
    <t>IT-005</t>
  </si>
  <si>
    <t>Mouse</t>
  </si>
  <si>
    <t>Mia Garcia</t>
  </si>
  <si>
    <t>IT-006</t>
  </si>
  <si>
    <t>Printer</t>
  </si>
  <si>
    <t>Office Equipment</t>
  </si>
  <si>
    <t>Epson</t>
  </si>
  <si>
    <t>IT-007</t>
  </si>
  <si>
    <t>Projector</t>
  </si>
  <si>
    <t>BenQ</t>
  </si>
  <si>
    <t>Luis Mendoza</t>
  </si>
  <si>
    <t>IT-008</t>
  </si>
  <si>
    <t>Acer</t>
  </si>
  <si>
    <t>Bea Flores</t>
  </si>
  <si>
    <t>IT-009</t>
  </si>
  <si>
    <t>Headset</t>
  </si>
  <si>
    <t>Jabra</t>
  </si>
  <si>
    <t>John Lim</t>
  </si>
  <si>
    <t>IT-010</t>
  </si>
  <si>
    <t>Router</t>
  </si>
  <si>
    <t>Networking</t>
  </si>
  <si>
    <t>TP-Link</t>
  </si>
  <si>
    <t>Accounting</t>
  </si>
  <si>
    <t>In Use</t>
  </si>
  <si>
    <t>IT</t>
  </si>
  <si>
    <t>Available</t>
  </si>
  <si>
    <t>Operations</t>
  </si>
  <si>
    <t>Maintenance</t>
  </si>
  <si>
    <t>Human Resources</t>
  </si>
  <si>
    <t>Administration</t>
  </si>
  <si>
    <t>Training</t>
  </si>
  <si>
    <t>Sales</t>
  </si>
  <si>
    <t>Customer Support</t>
  </si>
  <si>
    <t>IT Equipment Inventory</t>
  </si>
  <si>
    <t>Field</t>
  </si>
  <si>
    <t>Description</t>
  </si>
  <si>
    <t>Project Name</t>
  </si>
  <si>
    <t>IT Equipment Inventory Tracker</t>
  </si>
  <si>
    <t>Created By</t>
  </si>
  <si>
    <t>Your name</t>
  </si>
  <si>
    <t>Date Created</t>
  </si>
  <si>
    <t>July 28, 2026</t>
  </si>
  <si>
    <t>Purpose</t>
  </si>
  <si>
    <t>Track equipment, costs, conditions, assignments, and availability</t>
  </si>
  <si>
    <t>Source</t>
  </si>
  <si>
    <t>Practice dataset</t>
  </si>
  <si>
    <t>Main Worksheet</t>
  </si>
  <si>
    <t>Inventory</t>
  </si>
  <si>
    <t>Table Name</t>
  </si>
  <si>
    <t>tblInventory</t>
  </si>
  <si>
    <t>Tools Used</t>
  </si>
  <si>
    <t>Microsoft Excel</t>
  </si>
  <si>
    <t>IT-011</t>
  </si>
  <si>
    <t>UPS (Uninterruptible Power Supply)</t>
  </si>
  <si>
    <t>Power Equipment</t>
  </si>
  <si>
    <t>APC</t>
  </si>
  <si>
    <t>IT-012</t>
  </si>
  <si>
    <t>Scanner</t>
  </si>
  <si>
    <t>Canon</t>
  </si>
  <si>
    <t>Sarah Villanueva</t>
  </si>
  <si>
    <t>IT-013</t>
  </si>
  <si>
    <t>Webcam</t>
  </si>
  <si>
    <t>Kevin Torres</t>
  </si>
  <si>
    <t>Marketing</t>
  </si>
  <si>
    <t>IT-014</t>
  </si>
  <si>
    <t>Network Switch</t>
  </si>
  <si>
    <t>Cisco</t>
  </si>
  <si>
    <t>IT-015</t>
  </si>
  <si>
    <t>Tablet</t>
  </si>
  <si>
    <t>Mobile Device</t>
  </si>
  <si>
    <t>Rachel Gomez</t>
  </si>
  <si>
    <t>Most recently purchased equipment</t>
  </si>
  <si>
    <t>Highest equipment cost</t>
  </si>
  <si>
    <t>Currently available items</t>
  </si>
  <si>
    <t>Needs maintenance (items)</t>
  </si>
  <si>
    <t>Department with the most equipment</t>
  </si>
  <si>
    <t>Equipment cost more than ₱20,000</t>
  </si>
  <si>
    <t>Currently Unassigned items</t>
  </si>
  <si>
    <t>Question</t>
  </si>
  <si>
    <t>Answer</t>
  </si>
  <si>
    <t>Desktop Computer – ₱52,000</t>
  </si>
  <si>
    <t>Monitor - 05/03/2026</t>
  </si>
  <si>
    <t>Operations -  ₱52,000</t>
  </si>
  <si>
    <t>IT-014 Network Switch, IT-006 Printer, IT-011 UPS (Uninterruptible Power Supply), IT-010 Router, IT-003 Keyboard</t>
  </si>
  <si>
    <t>IT004 Desktop Computer</t>
  </si>
  <si>
    <t>IT-004 Desktop Computer, IT-001 Laptop, IT-008 Laptop, IT-007 Projector, IT-015 Tablet</t>
  </si>
  <si>
    <t>Equipment Cost Analysis</t>
  </si>
  <si>
    <t>Item</t>
  </si>
  <si>
    <t>Unit Cost</t>
  </si>
  <si>
    <t>Quantity</t>
  </si>
  <si>
    <t>Subtotal</t>
  </si>
  <si>
    <t>Contingency Cost</t>
  </si>
  <si>
    <t>Projected Cost</t>
  </si>
  <si>
    <t>Budget Share</t>
  </si>
  <si>
    <t>Contingency Rate</t>
  </si>
  <si>
    <t>Budget Limit</t>
  </si>
  <si>
    <t>Remaining Budget</t>
  </si>
  <si>
    <t>Total</t>
  </si>
  <si>
    <t>Average Projected Cost</t>
  </si>
  <si>
    <t>Highest Projected Cost</t>
  </si>
  <si>
    <t>Lowest Projected Cost</t>
  </si>
  <si>
    <t>Number of Equipment Types</t>
  </si>
  <si>
    <t>Increased 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</si>
</sst>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164" formatCode="&quot;₱&quot;#,##0.00"/>
  </numFmts>
  <fonts count="5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right" vertical="center" wrapText="1"/>
    </xf>
    <xf numFmtId="164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/>
    <xf numFmtId="44" fontId="0" fillId="0" borderId="0" xfId="0" applyNumberFormat="1" applyAlignment="1">
      <alignment horizontal="right" vertical="center" wrapText="1"/>
    </xf>
    <xf numFmtId="44" fontId="0" fillId="0" borderId="0" xfId="0" applyNumberFormat="1"/>
    <xf numFmtId="10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2" fillId="0" borderId="0" xfId="0" applyFont="1"/>
    <xf numFmtId="44" fontId="2" fillId="0" borderId="0" xfId="0" applyNumberFormat="1" applyFont="1"/>
    <xf numFmtId="44" fontId="2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Title" xfId="1" builtinId="15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&quot;₱&quot;#,##0.00"/>
      <alignment horizontal="right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3FAD6-C470-4BE3-9A77-70265F5CCF54}" name="tblInventory" displayName="tblInventory" ref="A2:J17" totalsRowShown="0" headerRowDxfId="11" dataDxfId="10">
  <autoFilter ref="A2:J17" xr:uid="{FF33FAD6-C470-4BE3-9A77-70265F5CCF54}"/>
  <sortState xmlns:xlrd2="http://schemas.microsoft.com/office/spreadsheetml/2017/richdata2" ref="A3:J17">
    <sortCondition descending="1" ref="F2:F17"/>
  </sortState>
  <tableColumns count="10">
    <tableColumn id="1" xr3:uid="{352ACF9B-3409-47CA-BBC7-F5C63FBDB5FF}" name="Asset ID" dataDxfId="9"/>
    <tableColumn id="2" xr3:uid="{966D297D-13BD-4950-82AA-E6A383BF6CC3}" name="Item Name" dataDxfId="8"/>
    <tableColumn id="3" xr3:uid="{3ED470BD-E1E0-4261-89A8-4FA01956D9CE}" name="Category" dataDxfId="7"/>
    <tableColumn id="4" xr3:uid="{6AFD193D-7825-46AE-915C-497F50C6A2AE}" name="Brand" dataDxfId="6"/>
    <tableColumn id="5" xr3:uid="{552F4850-5EC1-4593-90F2-12A4F1814DB6}" name="Purchase Date" dataDxfId="5"/>
    <tableColumn id="6" xr3:uid="{728C51CE-4B81-42BD-B730-43392EB16565}" name="Cost" dataDxfId="4"/>
    <tableColumn id="7" xr3:uid="{3282F887-F411-4088-872A-8ADBB1A44BBD}" name="Condition" dataDxfId="3"/>
    <tableColumn id="8" xr3:uid="{16A210B2-874D-4BBD-8EDA-CDAF056D18E8}" name="Assigned To" dataDxfId="2"/>
    <tableColumn id="9" xr3:uid="{02E71006-656F-48F1-8555-35AB3A1AB2EC}" name="Department" dataDxfId="1"/>
    <tableColumn id="10" xr3:uid="{13B3BE01-E289-4DE7-B188-0C837AE54E6B}" name="Status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23D0-1544-4615-8EED-50029F89E15F}">
  <dimension ref="A1:J17"/>
  <sheetViews>
    <sheetView workbookViewId="0">
      <pane ySplit="2" topLeftCell="A8" activePane="bottomLeft" state="frozen"/>
      <selection pane="bottomLeft" activeCell="A3" sqref="A3:B7"/>
    </sheetView>
  </sheetViews>
  <sheetFormatPr defaultRowHeight="15" x14ac:dyDescent="0.25"/>
  <cols>
    <col min="1" max="1" width="13" bestFit="1" customWidth="1"/>
    <col min="2" max="2" width="15.42578125" bestFit="1" customWidth="1"/>
    <col min="3" max="3" width="13.7109375" bestFit="1" customWidth="1"/>
    <col min="4" max="4" width="10.7109375" bestFit="1" customWidth="1"/>
    <col min="5" max="5" width="23.140625" style="3" customWidth="1"/>
    <col min="6" max="6" width="11.5703125" style="8" customWidth="1"/>
    <col min="7" max="7" width="12.140625" customWidth="1"/>
    <col min="8" max="8" width="16.28515625" bestFit="1" customWidth="1"/>
    <col min="9" max="9" width="16.42578125" bestFit="1" customWidth="1"/>
    <col min="10" max="10" width="11.28515625" bestFit="1" customWidth="1"/>
  </cols>
  <sheetData>
    <row r="1" spans="1:10" ht="24" x14ac:dyDescent="0.4">
      <c r="A1" s="12" t="s">
        <v>65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6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ht="30" x14ac:dyDescent="0.25">
      <c r="A3" s="2" t="s">
        <v>27</v>
      </c>
      <c r="B3" s="2" t="s">
        <v>28</v>
      </c>
      <c r="C3" s="2" t="s">
        <v>12</v>
      </c>
      <c r="D3" s="2" t="s">
        <v>29</v>
      </c>
      <c r="E3" s="9">
        <v>45235</v>
      </c>
      <c r="F3" s="7">
        <v>52000</v>
      </c>
      <c r="G3" s="2" t="s">
        <v>30</v>
      </c>
      <c r="H3" s="2" t="s">
        <v>31</v>
      </c>
      <c r="I3" s="2" t="s">
        <v>58</v>
      </c>
      <c r="J3" s="2" t="s">
        <v>59</v>
      </c>
    </row>
    <row r="4" spans="1:10" x14ac:dyDescent="0.25">
      <c r="A4" s="2" t="s">
        <v>10</v>
      </c>
      <c r="B4" s="2" t="s">
        <v>11</v>
      </c>
      <c r="C4" s="2" t="s">
        <v>12</v>
      </c>
      <c r="D4" s="2" t="s">
        <v>13</v>
      </c>
      <c r="E4" s="9">
        <v>2</v>
      </c>
      <c r="F4" s="7">
        <v>45000</v>
      </c>
      <c r="G4" s="2" t="s">
        <v>14</v>
      </c>
      <c r="H4" s="2" t="s">
        <v>15</v>
      </c>
      <c r="I4" s="2" t="s">
        <v>54</v>
      </c>
      <c r="J4" s="2" t="s">
        <v>55</v>
      </c>
    </row>
    <row r="5" spans="1:10" x14ac:dyDescent="0.25">
      <c r="A5" s="2" t="s">
        <v>43</v>
      </c>
      <c r="B5" s="2" t="s">
        <v>11</v>
      </c>
      <c r="C5" s="2" t="s">
        <v>12</v>
      </c>
      <c r="D5" s="2" t="s">
        <v>44</v>
      </c>
      <c r="E5" s="9">
        <v>45672</v>
      </c>
      <c r="F5" s="7">
        <v>38000</v>
      </c>
      <c r="G5" s="2" t="s">
        <v>14</v>
      </c>
      <c r="H5" s="2" t="s">
        <v>45</v>
      </c>
      <c r="I5" s="2" t="s">
        <v>63</v>
      </c>
      <c r="J5" s="2" t="s">
        <v>55</v>
      </c>
    </row>
    <row r="6" spans="1:10" x14ac:dyDescent="0.25">
      <c r="A6" s="2" t="s">
        <v>39</v>
      </c>
      <c r="B6" s="2" t="s">
        <v>40</v>
      </c>
      <c r="C6" s="2" t="s">
        <v>18</v>
      </c>
      <c r="D6" s="2" t="s">
        <v>41</v>
      </c>
      <c r="E6" s="9">
        <v>3</v>
      </c>
      <c r="F6" s="7">
        <v>28000</v>
      </c>
      <c r="G6" s="2" t="s">
        <v>30</v>
      </c>
      <c r="H6" s="2" t="s">
        <v>42</v>
      </c>
      <c r="I6" s="2" t="s">
        <v>62</v>
      </c>
      <c r="J6" s="2" t="s">
        <v>55</v>
      </c>
    </row>
    <row r="7" spans="1:10" x14ac:dyDescent="0.25">
      <c r="A7" s="2" t="s">
        <v>99</v>
      </c>
      <c r="B7" s="2" t="s">
        <v>100</v>
      </c>
      <c r="C7" s="2" t="s">
        <v>101</v>
      </c>
      <c r="D7" s="2" t="s">
        <v>19</v>
      </c>
      <c r="E7" s="9">
        <v>45839</v>
      </c>
      <c r="F7" s="7">
        <v>21000</v>
      </c>
      <c r="G7" s="2" t="s">
        <v>25</v>
      </c>
      <c r="H7" s="2" t="s">
        <v>102</v>
      </c>
      <c r="I7" s="2" t="s">
        <v>63</v>
      </c>
      <c r="J7" s="2" t="s">
        <v>55</v>
      </c>
    </row>
    <row r="8" spans="1:10" x14ac:dyDescent="0.25">
      <c r="A8" s="2" t="s">
        <v>96</v>
      </c>
      <c r="B8" s="2" t="s">
        <v>97</v>
      </c>
      <c r="C8" s="2" t="s">
        <v>52</v>
      </c>
      <c r="D8" s="2" t="s">
        <v>98</v>
      </c>
      <c r="E8" s="9">
        <v>4</v>
      </c>
      <c r="F8" s="7">
        <v>15500</v>
      </c>
      <c r="G8" s="2" t="s">
        <v>14</v>
      </c>
      <c r="H8" s="2" t="s">
        <v>26</v>
      </c>
      <c r="I8" s="2" t="s">
        <v>56</v>
      </c>
      <c r="J8" s="2" t="s">
        <v>57</v>
      </c>
    </row>
    <row r="9" spans="1:10" ht="30" x14ac:dyDescent="0.25">
      <c r="A9" s="2" t="s">
        <v>35</v>
      </c>
      <c r="B9" s="2" t="s">
        <v>36</v>
      </c>
      <c r="C9" s="2" t="s">
        <v>37</v>
      </c>
      <c r="D9" s="2" t="s">
        <v>38</v>
      </c>
      <c r="E9" s="9">
        <v>45034</v>
      </c>
      <c r="F9" s="7">
        <v>12500</v>
      </c>
      <c r="G9" s="2" t="s">
        <v>14</v>
      </c>
      <c r="H9" s="2" t="s">
        <v>26</v>
      </c>
      <c r="I9" s="2" t="s">
        <v>61</v>
      </c>
      <c r="J9" s="2" t="s">
        <v>57</v>
      </c>
    </row>
    <row r="10" spans="1:10" ht="30" x14ac:dyDescent="0.25">
      <c r="A10" s="2" t="s">
        <v>88</v>
      </c>
      <c r="B10" s="2" t="s">
        <v>89</v>
      </c>
      <c r="C10" s="2" t="s">
        <v>37</v>
      </c>
      <c r="D10" s="2" t="s">
        <v>90</v>
      </c>
      <c r="E10" s="9">
        <v>5</v>
      </c>
      <c r="F10" s="7">
        <v>9800</v>
      </c>
      <c r="G10" s="2" t="s">
        <v>14</v>
      </c>
      <c r="H10" s="2" t="s">
        <v>91</v>
      </c>
      <c r="I10" s="2" t="s">
        <v>61</v>
      </c>
      <c r="J10" s="2" t="s">
        <v>55</v>
      </c>
    </row>
    <row r="11" spans="1:10" x14ac:dyDescent="0.25">
      <c r="A11" s="2" t="s">
        <v>16</v>
      </c>
      <c r="B11" s="2" t="s">
        <v>17</v>
      </c>
      <c r="C11" s="2" t="s">
        <v>18</v>
      </c>
      <c r="D11" s="2" t="s">
        <v>19</v>
      </c>
      <c r="E11" s="9">
        <v>46086</v>
      </c>
      <c r="F11" s="7">
        <v>8500</v>
      </c>
      <c r="G11" s="2" t="s">
        <v>14</v>
      </c>
      <c r="H11" s="2" t="s">
        <v>20</v>
      </c>
      <c r="I11" s="2" t="s">
        <v>56</v>
      </c>
      <c r="J11" s="2" t="s">
        <v>55</v>
      </c>
    </row>
    <row r="12" spans="1:10" ht="45" x14ac:dyDescent="0.25">
      <c r="A12" s="2" t="s">
        <v>84</v>
      </c>
      <c r="B12" s="2" t="s">
        <v>85</v>
      </c>
      <c r="C12" s="2" t="s">
        <v>86</v>
      </c>
      <c r="D12" s="2" t="s">
        <v>87</v>
      </c>
      <c r="E12" s="9">
        <v>6</v>
      </c>
      <c r="F12" s="7">
        <v>6500</v>
      </c>
      <c r="G12" s="2" t="s">
        <v>14</v>
      </c>
      <c r="H12" s="2" t="s">
        <v>26</v>
      </c>
      <c r="I12" s="2" t="s">
        <v>56</v>
      </c>
      <c r="J12" s="2" t="s">
        <v>57</v>
      </c>
    </row>
    <row r="13" spans="1:10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9">
        <v>45820</v>
      </c>
      <c r="F13" s="7">
        <v>4500</v>
      </c>
      <c r="G13" s="2" t="s">
        <v>14</v>
      </c>
      <c r="H13" s="2" t="s">
        <v>26</v>
      </c>
      <c r="I13" s="2" t="s">
        <v>56</v>
      </c>
      <c r="J13" s="2" t="s">
        <v>57</v>
      </c>
    </row>
    <row r="14" spans="1:10" ht="30" x14ac:dyDescent="0.25">
      <c r="A14" s="2" t="s">
        <v>46</v>
      </c>
      <c r="B14" s="2" t="s">
        <v>47</v>
      </c>
      <c r="C14" s="2" t="s">
        <v>23</v>
      </c>
      <c r="D14" s="2" t="s">
        <v>48</v>
      </c>
      <c r="E14" s="9">
        <v>7</v>
      </c>
      <c r="F14" s="7">
        <v>3200</v>
      </c>
      <c r="G14" s="2" t="s">
        <v>25</v>
      </c>
      <c r="H14" s="2" t="s">
        <v>49</v>
      </c>
      <c r="I14" s="2" t="s">
        <v>64</v>
      </c>
      <c r="J14" s="2" t="s">
        <v>55</v>
      </c>
    </row>
    <row r="15" spans="1:10" x14ac:dyDescent="0.25">
      <c r="A15" s="2" t="s">
        <v>92</v>
      </c>
      <c r="B15" s="2" t="s">
        <v>93</v>
      </c>
      <c r="C15" s="2" t="s">
        <v>23</v>
      </c>
      <c r="D15" s="2" t="s">
        <v>24</v>
      </c>
      <c r="E15" s="9">
        <v>45560</v>
      </c>
      <c r="F15" s="7">
        <v>2900</v>
      </c>
      <c r="G15" s="2" t="s">
        <v>25</v>
      </c>
      <c r="H15" s="2" t="s">
        <v>94</v>
      </c>
      <c r="I15" s="2" t="s">
        <v>95</v>
      </c>
      <c r="J15" s="2" t="s">
        <v>55</v>
      </c>
    </row>
    <row r="16" spans="1:10" x14ac:dyDescent="0.25">
      <c r="A16" s="2" t="s">
        <v>21</v>
      </c>
      <c r="B16" s="2" t="s">
        <v>22</v>
      </c>
      <c r="C16" s="2" t="s">
        <v>23</v>
      </c>
      <c r="D16" s="2" t="s">
        <v>24</v>
      </c>
      <c r="E16" s="9">
        <v>8</v>
      </c>
      <c r="F16" s="7">
        <v>1200</v>
      </c>
      <c r="G16" s="2" t="s">
        <v>25</v>
      </c>
      <c r="H16" s="2" t="s">
        <v>26</v>
      </c>
      <c r="I16" s="2" t="s">
        <v>56</v>
      </c>
      <c r="J16" s="2" t="s">
        <v>57</v>
      </c>
    </row>
    <row r="17" spans="1:10" ht="30" x14ac:dyDescent="0.25">
      <c r="A17" s="2" t="s">
        <v>32</v>
      </c>
      <c r="B17" s="2" t="s">
        <v>33</v>
      </c>
      <c r="C17" s="2" t="s">
        <v>23</v>
      </c>
      <c r="D17" s="2" t="s">
        <v>24</v>
      </c>
      <c r="E17" s="9">
        <v>45587</v>
      </c>
      <c r="F17" s="7">
        <v>750</v>
      </c>
      <c r="G17" s="2" t="s">
        <v>25</v>
      </c>
      <c r="H17" s="2" t="s">
        <v>34</v>
      </c>
      <c r="I17" s="2" t="s">
        <v>60</v>
      </c>
      <c r="J17" s="2" t="s">
        <v>55</v>
      </c>
    </row>
  </sheetData>
  <mergeCells count="1">
    <mergeCell ref="A1:J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595B-55E2-4071-9A67-7DCD8963A804}">
  <dimension ref="A1:K17"/>
  <sheetViews>
    <sheetView tabSelected="1" workbookViewId="0">
      <selection activeCell="K15" sqref="K15"/>
    </sheetView>
  </sheetViews>
  <sheetFormatPr defaultRowHeight="15" x14ac:dyDescent="0.25"/>
  <cols>
    <col min="1" max="1" width="26.140625" bestFit="1" customWidth="1"/>
    <col min="2" max="2" width="16" customWidth="1"/>
    <col min="3" max="3" width="8.7109375" bestFit="1" customWidth="1"/>
    <col min="4" max="4" width="12.5703125" bestFit="1" customWidth="1"/>
    <col min="5" max="5" width="12.42578125" bestFit="1" customWidth="1"/>
    <col min="6" max="6" width="14.5703125" bestFit="1" customWidth="1"/>
    <col min="7" max="7" width="12.85546875" bestFit="1" customWidth="1"/>
    <col min="10" max="10" width="23.85546875" bestFit="1" customWidth="1"/>
    <col min="11" max="11" width="16.42578125" bestFit="1" customWidth="1"/>
  </cols>
  <sheetData>
    <row r="1" spans="1:11" x14ac:dyDescent="0.25">
      <c r="A1" s="24" t="s">
        <v>118</v>
      </c>
      <c r="B1" s="23"/>
      <c r="C1" s="23"/>
      <c r="D1" s="23"/>
      <c r="E1" s="23"/>
      <c r="F1" s="23"/>
      <c r="G1" s="23"/>
    </row>
    <row r="2" spans="1:11" x14ac:dyDescent="0.25">
      <c r="A2" s="23"/>
      <c r="B2" s="23"/>
      <c r="C2" s="23"/>
      <c r="D2" s="23"/>
      <c r="E2" s="23"/>
      <c r="F2" s="23"/>
      <c r="G2" s="23"/>
      <c r="J2" t="s">
        <v>126</v>
      </c>
      <c r="K2" s="15">
        <v>0.08</v>
      </c>
    </row>
    <row r="3" spans="1:11" ht="30" x14ac:dyDescent="0.25">
      <c r="A3" s="1" t="s">
        <v>119</v>
      </c>
      <c r="B3" s="1" t="s">
        <v>120</v>
      </c>
      <c r="C3" s="1" t="s">
        <v>121</v>
      </c>
      <c r="D3" s="1" t="s">
        <v>122</v>
      </c>
      <c r="E3" s="1" t="s">
        <v>123</v>
      </c>
      <c r="F3" s="1" t="s">
        <v>124</v>
      </c>
      <c r="G3" s="1" t="s">
        <v>125</v>
      </c>
      <c r="J3" t="s">
        <v>127</v>
      </c>
      <c r="K3" s="8">
        <v>400000</v>
      </c>
    </row>
    <row r="4" spans="1:11" x14ac:dyDescent="0.25">
      <c r="A4" s="2" t="s">
        <v>11</v>
      </c>
      <c r="B4" s="7">
        <v>45000</v>
      </c>
      <c r="C4" s="13">
        <v>2</v>
      </c>
      <c r="D4" s="16">
        <f>B4*C4</f>
        <v>90000</v>
      </c>
      <c r="E4" s="16">
        <f>D4*$K$2</f>
        <v>7200</v>
      </c>
      <c r="F4" s="16">
        <f>D4+E4</f>
        <v>97200</v>
      </c>
      <c r="G4" s="18">
        <f>F4/$F$12</f>
        <v>0.451693851944793</v>
      </c>
      <c r="J4" t="s">
        <v>128</v>
      </c>
      <c r="K4" s="8">
        <f>K3-F12</f>
        <v>184810</v>
      </c>
    </row>
    <row r="5" spans="1:11" x14ac:dyDescent="0.25">
      <c r="A5" s="2" t="s">
        <v>17</v>
      </c>
      <c r="B5" s="7">
        <v>8500</v>
      </c>
      <c r="C5" s="13">
        <v>4</v>
      </c>
      <c r="D5" s="16">
        <f t="shared" ref="D5:D11" si="0">B5*C5</f>
        <v>34000</v>
      </c>
      <c r="E5" s="16">
        <f>D5*$K$2</f>
        <v>2720</v>
      </c>
      <c r="F5" s="16">
        <f t="shared" ref="F5:F11" si="1">D5+E5</f>
        <v>36720</v>
      </c>
      <c r="G5" s="18">
        <f>F5/$F$12</f>
        <v>0.17063989962358847</v>
      </c>
    </row>
    <row r="6" spans="1:11" x14ac:dyDescent="0.25">
      <c r="A6" s="2" t="s">
        <v>22</v>
      </c>
      <c r="B6" s="7">
        <v>1200</v>
      </c>
      <c r="C6" s="13">
        <v>5</v>
      </c>
      <c r="D6" s="16">
        <f t="shared" si="0"/>
        <v>6000</v>
      </c>
      <c r="E6" s="16">
        <f>D6*$K$2</f>
        <v>480</v>
      </c>
      <c r="F6" s="16">
        <f t="shared" si="1"/>
        <v>6480</v>
      </c>
      <c r="G6" s="18">
        <f>F6/$F$12</f>
        <v>3.0112923462986198E-2</v>
      </c>
      <c r="J6" t="s">
        <v>134</v>
      </c>
      <c r="K6" s="15">
        <v>0.1</v>
      </c>
    </row>
    <row r="7" spans="1:11" x14ac:dyDescent="0.25">
      <c r="A7" s="2" t="s">
        <v>33</v>
      </c>
      <c r="B7" s="7">
        <v>750</v>
      </c>
      <c r="C7" s="13">
        <v>5</v>
      </c>
      <c r="D7" s="16">
        <f t="shared" si="0"/>
        <v>3750</v>
      </c>
      <c r="E7" s="16">
        <f>D7*$K$2</f>
        <v>300</v>
      </c>
      <c r="F7" s="16">
        <f t="shared" si="1"/>
        <v>4050</v>
      </c>
      <c r="G7" s="18">
        <f>F7/$F$12</f>
        <v>1.8820577164366373E-2</v>
      </c>
      <c r="K7" s="8">
        <f>B4*(1+$K$6)</f>
        <v>49500.000000000007</v>
      </c>
    </row>
    <row r="8" spans="1:11" x14ac:dyDescent="0.25">
      <c r="A8" s="2" t="s">
        <v>36</v>
      </c>
      <c r="B8" s="7">
        <v>12500</v>
      </c>
      <c r="C8" s="13">
        <v>1</v>
      </c>
      <c r="D8" s="16">
        <f t="shared" si="0"/>
        <v>12500</v>
      </c>
      <c r="E8" s="16">
        <f>D8*$K$2</f>
        <v>1000</v>
      </c>
      <c r="F8" s="16">
        <f t="shared" si="1"/>
        <v>13500</v>
      </c>
      <c r="G8" s="18">
        <f>F8/$F$12</f>
        <v>6.2735257214554585E-2</v>
      </c>
      <c r="K8" s="8">
        <f t="shared" ref="K8:K12" si="2">B5*(1+$K$6)</f>
        <v>9350</v>
      </c>
    </row>
    <row r="9" spans="1:11" x14ac:dyDescent="0.25">
      <c r="A9" s="2" t="s">
        <v>40</v>
      </c>
      <c r="B9" s="7">
        <v>28000</v>
      </c>
      <c r="C9" s="13">
        <v>1</v>
      </c>
      <c r="D9" s="16">
        <f t="shared" si="0"/>
        <v>28000</v>
      </c>
      <c r="E9" s="16">
        <f>D9*$K$2</f>
        <v>2240</v>
      </c>
      <c r="F9" s="16">
        <f t="shared" si="1"/>
        <v>30240</v>
      </c>
      <c r="G9" s="18">
        <f>F9/$F$12</f>
        <v>0.14052697616060225</v>
      </c>
      <c r="K9" s="8">
        <f t="shared" si="2"/>
        <v>1320</v>
      </c>
    </row>
    <row r="10" spans="1:11" x14ac:dyDescent="0.25">
      <c r="A10" s="2" t="s">
        <v>47</v>
      </c>
      <c r="B10" s="7">
        <v>3200</v>
      </c>
      <c r="C10" s="13">
        <v>5</v>
      </c>
      <c r="D10" s="16">
        <f t="shared" si="0"/>
        <v>16000</v>
      </c>
      <c r="E10" s="16">
        <f>D10*$K$2</f>
        <v>1280</v>
      </c>
      <c r="F10" s="16">
        <f t="shared" si="1"/>
        <v>17280</v>
      </c>
      <c r="G10" s="18">
        <f>F10/$F$12</f>
        <v>8.0301129234629856E-2</v>
      </c>
      <c r="K10" s="8">
        <f t="shared" si="2"/>
        <v>825.00000000000011</v>
      </c>
    </row>
    <row r="11" spans="1:11" x14ac:dyDescent="0.25">
      <c r="A11" s="2" t="s">
        <v>51</v>
      </c>
      <c r="B11" s="7">
        <v>4500</v>
      </c>
      <c r="C11" s="13">
        <v>2</v>
      </c>
      <c r="D11" s="16">
        <f>B11*C11</f>
        <v>9000</v>
      </c>
      <c r="E11" s="16">
        <f>D11*$K$2</f>
        <v>720</v>
      </c>
      <c r="F11" s="16">
        <f t="shared" si="1"/>
        <v>9720</v>
      </c>
      <c r="G11" s="18">
        <f>F11/$F$12</f>
        <v>4.51693851944793E-2</v>
      </c>
      <c r="K11" s="8">
        <f t="shared" si="2"/>
        <v>13750.000000000002</v>
      </c>
    </row>
    <row r="12" spans="1:11" x14ac:dyDescent="0.25">
      <c r="A12" s="14" t="s">
        <v>129</v>
      </c>
      <c r="B12" s="20"/>
      <c r="C12" s="20"/>
      <c r="D12" s="21">
        <f>SUM(D4:D11)</f>
        <v>199250</v>
      </c>
      <c r="E12" s="22">
        <f>SUM(E4:E11)</f>
        <v>15940</v>
      </c>
      <c r="F12" s="22">
        <f>SUM(F4:F11)</f>
        <v>215190</v>
      </c>
      <c r="K12" s="8">
        <f t="shared" si="2"/>
        <v>30800.000000000004</v>
      </c>
    </row>
    <row r="13" spans="1:11" x14ac:dyDescent="0.25">
      <c r="K13" s="8">
        <f>B10*(1+$K$6)</f>
        <v>3520.0000000000005</v>
      </c>
    </row>
    <row r="14" spans="1:11" x14ac:dyDescent="0.25">
      <c r="A14" t="s">
        <v>130</v>
      </c>
      <c r="B14" s="17">
        <f>AVERAGE(F4:F11)</f>
        <v>26898.75</v>
      </c>
      <c r="K14" s="8">
        <f>B11*(1+$K$6)</f>
        <v>4950</v>
      </c>
    </row>
    <row r="15" spans="1:11" x14ac:dyDescent="0.25">
      <c r="A15" t="s">
        <v>131</v>
      </c>
      <c r="B15" s="17">
        <f>MAX(F4:F11)</f>
        <v>97200</v>
      </c>
      <c r="K15" s="8"/>
    </row>
    <row r="16" spans="1:11" x14ac:dyDescent="0.25">
      <c r="A16" t="s">
        <v>132</v>
      </c>
      <c r="B16" s="17">
        <f>MIN(F4:F11)</f>
        <v>4050</v>
      </c>
    </row>
    <row r="17" spans="1:2" x14ac:dyDescent="0.25">
      <c r="A17" t="s">
        <v>133</v>
      </c>
      <c r="B17" s="19">
        <f>COUNT(F4:F11)</f>
        <v>8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69EC-CC18-417F-9FE9-A7B274850A6F}">
  <dimension ref="A1:B8"/>
  <sheetViews>
    <sheetView workbookViewId="0">
      <selection activeCell="A14" sqref="A14"/>
    </sheetView>
  </sheetViews>
  <sheetFormatPr defaultRowHeight="15" x14ac:dyDescent="0.25"/>
  <cols>
    <col min="1" max="1" width="35.7109375" bestFit="1" customWidth="1"/>
    <col min="2" max="2" width="100.7109375" bestFit="1" customWidth="1"/>
  </cols>
  <sheetData>
    <row r="1" spans="1:2" x14ac:dyDescent="0.25">
      <c r="A1" s="11" t="s">
        <v>110</v>
      </c>
      <c r="B1" s="11" t="s">
        <v>111</v>
      </c>
    </row>
    <row r="2" spans="1:2" x14ac:dyDescent="0.25">
      <c r="A2" t="s">
        <v>104</v>
      </c>
      <c r="B2" s="10" t="s">
        <v>112</v>
      </c>
    </row>
    <row r="3" spans="1:2" x14ac:dyDescent="0.25">
      <c r="A3" t="s">
        <v>103</v>
      </c>
      <c r="B3" s="10" t="s">
        <v>113</v>
      </c>
    </row>
    <row r="4" spans="1:2" x14ac:dyDescent="0.25">
      <c r="A4" t="s">
        <v>105</v>
      </c>
      <c r="B4" s="10">
        <v>5</v>
      </c>
    </row>
    <row r="5" spans="1:2" x14ac:dyDescent="0.25">
      <c r="A5" t="s">
        <v>106</v>
      </c>
      <c r="B5" s="10" t="s">
        <v>116</v>
      </c>
    </row>
    <row r="6" spans="1:2" x14ac:dyDescent="0.25">
      <c r="A6" t="s">
        <v>107</v>
      </c>
      <c r="B6" s="10" t="s">
        <v>114</v>
      </c>
    </row>
    <row r="7" spans="1:2" x14ac:dyDescent="0.25">
      <c r="A7" t="s">
        <v>108</v>
      </c>
      <c r="B7" s="10" t="s">
        <v>117</v>
      </c>
    </row>
    <row r="8" spans="1:2" x14ac:dyDescent="0.25">
      <c r="A8" t="s">
        <v>109</v>
      </c>
      <c r="B8" s="10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1C18-0045-40E0-9999-1F46A1F3DFF6}">
  <dimension ref="A1:B9"/>
  <sheetViews>
    <sheetView workbookViewId="0">
      <selection activeCell="A2" sqref="A2"/>
    </sheetView>
  </sheetViews>
  <sheetFormatPr defaultRowHeight="15" x14ac:dyDescent="0.25"/>
  <cols>
    <col min="1" max="1" width="12.85546875" bestFit="1" customWidth="1"/>
    <col min="2" max="2" width="49.85546875" bestFit="1" customWidth="1"/>
  </cols>
  <sheetData>
    <row r="1" spans="1:2" ht="25.5" customHeight="1" x14ac:dyDescent="0.25">
      <c r="A1" s="1" t="s">
        <v>66</v>
      </c>
      <c r="B1" s="1" t="s">
        <v>67</v>
      </c>
    </row>
    <row r="2" spans="1:2" ht="32.25" customHeight="1" x14ac:dyDescent="0.25">
      <c r="A2" s="2" t="s">
        <v>68</v>
      </c>
      <c r="B2" s="2" t="s">
        <v>69</v>
      </c>
    </row>
    <row r="3" spans="1:2" ht="24.75" customHeight="1" x14ac:dyDescent="0.25">
      <c r="A3" s="2" t="s">
        <v>70</v>
      </c>
      <c r="B3" s="2" t="s">
        <v>71</v>
      </c>
    </row>
    <row r="4" spans="1:2" ht="28.5" customHeight="1" x14ac:dyDescent="0.25">
      <c r="A4" s="2" t="s">
        <v>72</v>
      </c>
      <c r="B4" s="2" t="s">
        <v>73</v>
      </c>
    </row>
    <row r="5" spans="1:2" ht="30" x14ac:dyDescent="0.25">
      <c r="A5" s="2" t="s">
        <v>74</v>
      </c>
      <c r="B5" s="2" t="s">
        <v>75</v>
      </c>
    </row>
    <row r="6" spans="1:2" x14ac:dyDescent="0.25">
      <c r="A6" s="2" t="s">
        <v>76</v>
      </c>
      <c r="B6" s="2" t="s">
        <v>77</v>
      </c>
    </row>
    <row r="7" spans="1:2" ht="30" x14ac:dyDescent="0.25">
      <c r="A7" s="2" t="s">
        <v>78</v>
      </c>
      <c r="B7" s="2" t="s">
        <v>79</v>
      </c>
    </row>
    <row r="8" spans="1:2" x14ac:dyDescent="0.25">
      <c r="A8" s="2" t="s">
        <v>80</v>
      </c>
      <c r="B8" s="2" t="s">
        <v>81</v>
      </c>
    </row>
    <row r="9" spans="1:2" x14ac:dyDescent="0.25">
      <c r="A9" s="2" t="s">
        <v>82</v>
      </c>
      <c r="B9" s="2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E2D562-EB52-4D8A-8E28-487DAE0029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Cost Analysis</vt:lpstr>
      <vt:lpstr>Analysis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2026-07-27T23:52:30Z</dcterms:created>
  <dcterms:modified xsi:type="dcterms:W3CDTF">2026-07-28T09:04:18Z</dcterms:modified>
</cp:coreProperties>
</file>