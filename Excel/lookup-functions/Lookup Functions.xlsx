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lookup-functions\"/>
    </mc:Choice>
  </mc:AlternateContent>
  <xr:revisionPtr revIDLastSave="0" documentId="8_{AD975ADA-2E18-4515-80E9-C4360B8AF3C8}" xr6:coauthVersionLast="47" xr6:coauthVersionMax="47" xr10:uidLastSave="{00000000-0000-0000-0000-000000000000}"/>
  <bookViews>
    <workbookView xWindow="-120" yWindow="-120" windowWidth="21840" windowHeight="13140" xr2:uid="{9BF718F0-CB88-4873-8D81-AAC5EB9AA79F}"/>
  </bookViews>
  <sheets>
    <sheet name="Lookup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1" i="1"/>
  <c r="G22" i="1"/>
  <c r="G11" i="1"/>
  <c r="G12" i="1"/>
  <c r="G13" i="1"/>
  <c r="G10" i="1"/>
  <c r="F10" i="1" a="1"/>
  <c r="F10" i="1" s="1"/>
  <c r="H10" i="1" s="1"/>
  <c r="F11" i="1" a="1"/>
  <c r="F11" i="1" s="1"/>
  <c r="H11" i="1" s="1"/>
  <c r="F12" i="1" a="1"/>
  <c r="F12" i="1" s="1"/>
  <c r="H12" i="1" s="1"/>
  <c r="F13" i="1" a="1"/>
  <c r="F13" i="1" s="1"/>
  <c r="H13" i="1" s="1"/>
  <c r="G3" i="1"/>
  <c r="G4" i="1"/>
  <c r="G5" i="1"/>
  <c r="G2" i="1"/>
  <c r="F3" i="1"/>
  <c r="H3" i="1" s="1"/>
  <c r="F4" i="1"/>
  <c r="H4" i="1" s="1"/>
  <c r="F5" i="1"/>
  <c r="H5" i="1" s="1"/>
  <c r="F2" i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<sst xmlns="http://schemas.openxmlformats.org/spreadsheetml/2006/main" count="68" uniqueCount="51">
  <si>
    <t>Product ID</t>
  </si>
  <si>
    <t>Product Name</t>
  </si>
  <si>
    <t>Price</t>
  </si>
  <si>
    <t>P-101</t>
  </si>
  <si>
    <t>Laptop</t>
  </si>
  <si>
    <t>P-102</t>
  </si>
  <si>
    <t>Monitor</t>
  </si>
  <si>
    <t>P-103</t>
  </si>
  <si>
    <t>Keyboard</t>
  </si>
  <si>
    <t>P-104</t>
  </si>
  <si>
    <t>Mouse</t>
  </si>
  <si>
    <t>P-105</t>
  </si>
  <si>
    <t>Printer</t>
  </si>
  <si>
    <t>Search Product ID</t>
  </si>
  <si>
    <t>Status</t>
  </si>
  <si>
    <t>P-999</t>
  </si>
  <si>
    <t>Employee ID</t>
  </si>
  <si>
    <t>Employee Name</t>
  </si>
  <si>
    <t>Department</t>
  </si>
  <si>
    <t>E-01</t>
  </si>
  <si>
    <t>Ana Cruz</t>
  </si>
  <si>
    <t>IT</t>
  </si>
  <si>
    <t>E-02</t>
  </si>
  <si>
    <t>Mark Reyes</t>
  </si>
  <si>
    <t>Accounting</t>
  </si>
  <si>
    <t>E-03</t>
  </si>
  <si>
    <t>Luis Santos</t>
  </si>
  <si>
    <t>HR</t>
  </si>
  <si>
    <t>E-04</t>
  </si>
  <si>
    <t>Bea Flores</t>
  </si>
  <si>
    <t>Sales</t>
  </si>
  <si>
    <t>E-05</t>
  </si>
  <si>
    <t>John Lim</t>
  </si>
  <si>
    <t>Search Employee ID</t>
  </si>
  <si>
    <t>Result</t>
  </si>
  <si>
    <t>E-99</t>
  </si>
  <si>
    <t>Customer ID</t>
  </si>
  <si>
    <t>Customer Name</t>
  </si>
  <si>
    <t>City</t>
  </si>
  <si>
    <t>C-01</t>
  </si>
  <si>
    <t>Maria Santos</t>
  </si>
  <si>
    <t>Manila</t>
  </si>
  <si>
    <t>Active</t>
  </si>
  <si>
    <t>C-02</t>
  </si>
  <si>
    <t>Jacob Fernandez</t>
  </si>
  <si>
    <t>Quezon City</t>
  </si>
  <si>
    <t>C-03</t>
  </si>
  <si>
    <t>Anna Cruz</t>
  </si>
  <si>
    <t>Cebu</t>
  </si>
  <si>
    <t>Inactive</t>
  </si>
  <si>
    <t>Enter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</si>
</sst>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91A3-1652-45DD-A890-0EEDE64CA115}">
  <dimension ref="A1:H23"/>
  <sheetViews>
    <sheetView tabSelected="1" workbookViewId="0">
      <selection activeCell="I27" sqref="I27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11.85546875" bestFit="1" customWidth="1"/>
    <col min="5" max="5" width="19.28515625" bestFit="1" customWidth="1"/>
    <col min="6" max="6" width="18" bestFit="1" customWidth="1"/>
    <col min="7" max="7" width="15" customWidth="1"/>
    <col min="8" max="8" width="14.5703125" bestFit="1" customWidth="1"/>
  </cols>
  <sheetData>
    <row r="1" spans="1:8" ht="45" x14ac:dyDescent="0.25">
      <c r="A1" s="1" t="s">
        <v>0</v>
      </c>
      <c r="B1" s="1" t="s">
        <v>1</v>
      </c>
      <c r="C1" s="2" t="s">
        <v>2</v>
      </c>
      <c r="E1" s="1" t="s">
        <v>13</v>
      </c>
      <c r="F1" s="1" t="s">
        <v>1</v>
      </c>
      <c r="G1" s="2" t="s">
        <v>2</v>
      </c>
      <c r="H1" s="1" t="s">
        <v>14</v>
      </c>
    </row>
    <row r="2" spans="1:8" x14ac:dyDescent="0.25">
      <c r="A2" s="3" t="s">
        <v>3</v>
      </c>
      <c r="B2" s="3" t="s">
        <v>4</v>
      </c>
      <c r="C2" s="4">
        <v>45000</v>
      </c>
      <c r="E2" s="3" t="s">
        <v>7</v>
      </c>
      <c r="F2" s="3" t="str">
        <f>_xlfn.XLOOKUP(E2,$A$2:$A$6,$B$2:$B$6,"Not Found")</f>
        <v>Keyboard</v>
      </c>
      <c r="G2" s="4">
        <f>_xlfn.XLOOKUP(E2,$A$2:$A$6,$C$2:$C$6,"Not Found")</f>
        <v>1200</v>
      </c>
      <c r="H2" s="3" t="str">
        <f>IF(F2="Not Found","Missing","Available")</f>
        <v>Available</v>
      </c>
    </row>
    <row r="3" spans="1:8" x14ac:dyDescent="0.25">
      <c r="A3" s="3" t="s">
        <v>5</v>
      </c>
      <c r="B3" s="3" t="s">
        <v>6</v>
      </c>
      <c r="C3" s="4">
        <v>8500</v>
      </c>
      <c r="E3" s="3" t="s">
        <v>11</v>
      </c>
      <c r="F3" s="3" t="str">
        <f t="shared" ref="F3:F5" si="0">_xlfn.XLOOKUP(E3,$A$2:$A$6,$B$2:$B$6,"Not Found")</f>
        <v>Printer</v>
      </c>
      <c r="G3" s="4">
        <f t="shared" ref="G3:G5" si="1">_xlfn.XLOOKUP(E3,$A$2:$A$6,$C$2:$C$6,"Not Found")</f>
        <v>12500</v>
      </c>
      <c r="H3" s="3" t="str">
        <f t="shared" ref="H3:H5" si="2">IF(F3="Not Found","Missing","Available")</f>
        <v>Available</v>
      </c>
    </row>
    <row r="4" spans="1:8" x14ac:dyDescent="0.25">
      <c r="A4" s="3" t="s">
        <v>7</v>
      </c>
      <c r="B4" s="3" t="s">
        <v>8</v>
      </c>
      <c r="C4" s="4">
        <v>1200</v>
      </c>
      <c r="E4" s="3" t="s">
        <v>15</v>
      </c>
      <c r="F4" s="3" t="str">
        <f t="shared" si="0"/>
        <v>Not Found</v>
      </c>
      <c r="G4" s="4" t="str">
        <f t="shared" si="1"/>
        <v>Not Found</v>
      </c>
      <c r="H4" s="3" t="str">
        <f t="shared" si="2"/>
        <v>Missing</v>
      </c>
    </row>
    <row r="5" spans="1:8" x14ac:dyDescent="0.25">
      <c r="A5" s="3" t="s">
        <v>9</v>
      </c>
      <c r="B5" s="3" t="s">
        <v>10</v>
      </c>
      <c r="C5" s="4">
        <v>750</v>
      </c>
      <c r="E5" s="3" t="s">
        <v>3</v>
      </c>
      <c r="F5" s="3" t="str">
        <f t="shared" si="0"/>
        <v>Laptop</v>
      </c>
      <c r="G5" s="4">
        <f t="shared" si="1"/>
        <v>45000</v>
      </c>
      <c r="H5" s="3" t="str">
        <f t="shared" si="2"/>
        <v>Available</v>
      </c>
    </row>
    <row r="6" spans="1:8" x14ac:dyDescent="0.25">
      <c r="A6" s="3" t="s">
        <v>11</v>
      </c>
      <c r="B6" s="3" t="s">
        <v>12</v>
      </c>
      <c r="C6" s="4">
        <v>12500</v>
      </c>
    </row>
    <row r="9" spans="1:8" x14ac:dyDescent="0.25">
      <c r="A9" s="1" t="s">
        <v>16</v>
      </c>
      <c r="B9" s="1" t="s">
        <v>17</v>
      </c>
      <c r="C9" s="1" t="s">
        <v>18</v>
      </c>
      <c r="E9" s="1" t="s">
        <v>33</v>
      </c>
      <c r="F9" s="1" t="s">
        <v>17</v>
      </c>
      <c r="G9" s="1" t="s">
        <v>18</v>
      </c>
      <c r="H9" s="1" t="s">
        <v>34</v>
      </c>
    </row>
    <row r="10" spans="1:8" x14ac:dyDescent="0.25">
      <c r="A10" s="3" t="s">
        <v>19</v>
      </c>
      <c r="B10" s="3" t="s">
        <v>20</v>
      </c>
      <c r="C10" s="3" t="s">
        <v>21</v>
      </c>
      <c r="E10" s="3" t="s">
        <v>25</v>
      </c>
      <c r="F10" s="3" t="str" cm="1">
        <f t="array" ref="F10">_xlfn.XLOOKUP(E10,$A$10:A$14,$B$10:$B$14,"Not Found")</f>
        <v>Luis Santos</v>
      </c>
      <c r="G10" s="3" t="str">
        <f>_xlfn.XLOOKUP(E10,$A$10:$A$14,$C$10:$C$14,"Not Found")</f>
        <v>HR</v>
      </c>
      <c r="H10" s="3" t="str">
        <f>IF(OR(F10 ="Not Found", G10 = "Not Found"), "Missing Record", "Found")</f>
        <v>Found</v>
      </c>
    </row>
    <row r="11" spans="1:8" x14ac:dyDescent="0.25">
      <c r="A11" s="3" t="s">
        <v>22</v>
      </c>
      <c r="B11" s="3" t="s">
        <v>23</v>
      </c>
      <c r="C11" s="3" t="s">
        <v>24</v>
      </c>
      <c r="E11" s="3" t="s">
        <v>31</v>
      </c>
      <c r="F11" s="3" t="str" cm="1">
        <f t="array" ref="F11">_xlfn.XLOOKUP(E11,$A$10:A$14,$B$10:$B$14,"Not Found")</f>
        <v>John Lim</v>
      </c>
      <c r="G11" s="3" t="str">
        <f t="shared" ref="G11:G13" si="3">_xlfn.XLOOKUP(E11,$A$10:$A$14,$C$10:$C$14,"Not Found")</f>
        <v>IT</v>
      </c>
      <c r="H11" s="3" t="str">
        <f t="shared" ref="H11:H13" si="4">IF(OR(F11 ="Not Found", G11 = "Not Found"), "Missing Record", "Found")</f>
        <v>Found</v>
      </c>
    </row>
    <row r="12" spans="1:8" x14ac:dyDescent="0.25">
      <c r="A12" s="3" t="s">
        <v>25</v>
      </c>
      <c r="B12" s="3" t="s">
        <v>26</v>
      </c>
      <c r="C12" s="3" t="s">
        <v>27</v>
      </c>
      <c r="E12" s="3" t="s">
        <v>35</v>
      </c>
      <c r="F12" s="3" t="str" cm="1">
        <f t="array" ref="F12">_xlfn.XLOOKUP(E12,$A$10:A$14,$B$10:$B$14,"Not Found")</f>
        <v>Not Found</v>
      </c>
      <c r="G12" s="3" t="str">
        <f t="shared" si="3"/>
        <v>Not Found</v>
      </c>
      <c r="H12" s="3" t="str">
        <f t="shared" si="4"/>
        <v>Missing Record</v>
      </c>
    </row>
    <row r="13" spans="1:8" x14ac:dyDescent="0.25">
      <c r="A13" s="3" t="s">
        <v>28</v>
      </c>
      <c r="B13" s="3" t="s">
        <v>29</v>
      </c>
      <c r="C13" s="3" t="s">
        <v>30</v>
      </c>
      <c r="E13" s="3" t="s">
        <v>19</v>
      </c>
      <c r="F13" s="3" t="str" cm="1">
        <f t="array" ref="F13">_xlfn.XLOOKUP(E13,$A$10:A$14,$B$10:$B$14,"Not Found")</f>
        <v>Ana Cruz</v>
      </c>
      <c r="G13" s="3" t="str">
        <f t="shared" si="3"/>
        <v>IT</v>
      </c>
      <c r="H13" s="3" t="str">
        <f t="shared" si="4"/>
        <v>Found</v>
      </c>
    </row>
    <row r="14" spans="1:8" x14ac:dyDescent="0.25">
      <c r="A14" s="3" t="s">
        <v>31</v>
      </c>
      <c r="B14" s="3" t="s">
        <v>32</v>
      </c>
      <c r="C14" s="3" t="s">
        <v>21</v>
      </c>
    </row>
    <row r="18" spans="1:7" x14ac:dyDescent="0.25">
      <c r="A18" s="1" t="s">
        <v>36</v>
      </c>
      <c r="B18" s="1" t="s">
        <v>37</v>
      </c>
      <c r="C18" s="1" t="s">
        <v>38</v>
      </c>
      <c r="D18" s="1" t="s">
        <v>14</v>
      </c>
      <c r="F18" s="6" t="s">
        <v>50</v>
      </c>
      <c r="G18" s="8" t="s">
        <v>46</v>
      </c>
    </row>
    <row r="19" spans="1:7" x14ac:dyDescent="0.25">
      <c r="A19" s="3" t="s">
        <v>39</v>
      </c>
      <c r="B19" s="3" t="s">
        <v>40</v>
      </c>
      <c r="C19" s="3" t="s">
        <v>41</v>
      </c>
      <c r="D19" s="3" t="s">
        <v>42</v>
      </c>
      <c r="F19" s="7"/>
      <c r="G19" s="9"/>
    </row>
    <row r="20" spans="1:7" x14ac:dyDescent="0.25">
      <c r="A20" s="3" t="s">
        <v>43</v>
      </c>
      <c r="B20" s="3" t="s">
        <v>44</v>
      </c>
      <c r="C20" s="3" t="s">
        <v>45</v>
      </c>
      <c r="D20" s="3" t="s">
        <v>42</v>
      </c>
      <c r="F20" s="12"/>
      <c r="G20" s="13"/>
    </row>
    <row r="21" spans="1:7" x14ac:dyDescent="0.25">
      <c r="A21" s="3" t="s">
        <v>46</v>
      </c>
      <c r="B21" s="3" t="s">
        <v>47</v>
      </c>
      <c r="C21" s="3" t="s">
        <v>48</v>
      </c>
      <c r="D21" s="3" t="s">
        <v>49</v>
      </c>
      <c r="F21" s="10" t="s">
        <v>37</v>
      </c>
      <c r="G21" s="5" t="str">
        <f>_xlfn.XLOOKUP(G18,$A$19:$A$21,$B$19:$B$21,"Not Found")</f>
        <v>Anna Cruz</v>
      </c>
    </row>
    <row r="22" spans="1:7" x14ac:dyDescent="0.25">
      <c r="F22" s="10" t="s">
        <v>38</v>
      </c>
      <c r="G22" s="5" t="str">
        <f>_xlfn.XLOOKUP(G18,$A$19:$A$21,$C$19:$C$21,"Not Found")</f>
        <v>Cebu</v>
      </c>
    </row>
    <row r="23" spans="1:7" x14ac:dyDescent="0.25">
      <c r="F23" s="11" t="s">
        <v>14</v>
      </c>
      <c r="G23" s="5" t="str">
        <f>_xlfn.XLOOKUP(G18,$A$19:$A$21,$D$19:$D$21,"Not Found")</f>
        <v>Inactive</v>
      </c>
    </row>
  </sheetData>
  <mergeCells count="3">
    <mergeCell ref="F18:F19"/>
    <mergeCell ref="G18:G19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2026-08-04T08:05:24Z</dcterms:created>
  <dcterms:modified xsi:type="dcterms:W3CDTF">2026-08-04T08:33:10Z</dcterms:modified>
</cp:coreProperties>
</file>