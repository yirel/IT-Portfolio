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CK_IN\backup_saves\Excel\text-and-dates\"/>
    </mc:Choice>
  </mc:AlternateContent>
  <xr:revisionPtr revIDLastSave="0" documentId="8_{F21AF619-BE50-402A-819D-17E1756D104D}" xr6:coauthVersionLast="47" xr6:coauthVersionMax="47" xr10:uidLastSave="{00000000-0000-0000-0000-000000000000}"/>
  <bookViews>
    <workbookView xWindow="-120" yWindow="-120" windowWidth="21840" windowHeight="13140" xr2:uid="{83DDD700-FC51-4439-9821-1281D386642E}"/>
  </bookViews>
  <sheets>
    <sheet name="Text and D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3" i="1"/>
  <c r="E3" i="1"/>
  <c r="I11" i="1"/>
  <c r="I12" i="1"/>
  <c r="I13" i="1"/>
  <c r="I14" i="1"/>
  <c r="I15" i="1"/>
  <c r="I10" i="1"/>
  <c r="H11" i="1"/>
  <c r="H12" i="1"/>
  <c r="H13" i="1"/>
  <c r="H14" i="1"/>
  <c r="H15" i="1"/>
  <c r="H10" i="1"/>
  <c r="G11" i="1"/>
  <c r="G12" i="1"/>
  <c r="G13" i="1"/>
  <c r="G14" i="1"/>
  <c r="G15" i="1"/>
  <c r="G10" i="1"/>
  <c r="F11" i="1"/>
  <c r="F12" i="1"/>
  <c r="F13" i="1"/>
  <c r="F14" i="1"/>
  <c r="F15" i="1"/>
  <c r="F10" i="1"/>
  <c r="E11" i="1"/>
  <c r="E12" i="1"/>
  <c r="E13" i="1"/>
  <c r="E14" i="1"/>
  <c r="E15" i="1"/>
  <c r="E10" i="1"/>
  <c r="E4" i="1"/>
  <c r="E5" i="1"/>
  <c r="E6" i="1"/>
  <c r="E7" i="1"/>
  <c r="F4" i="1"/>
  <c r="F5" i="1"/>
  <c r="F6" i="1"/>
  <c r="F7" i="1"/>
  <c r="F3" i="1"/>
  <c r="D11" i="1"/>
  <c r="D12" i="1"/>
  <c r="D13" i="1"/>
  <c r="D14" i="1"/>
  <c r="D15" i="1"/>
  <c r="D10" i="1"/>
  <c r="C11" i="1"/>
  <c r="C12" i="1"/>
  <c r="C13" i="1"/>
  <c r="C14" i="1"/>
  <c r="C15" i="1"/>
  <c r="C10" i="1"/>
  <c r="B11" i="1"/>
  <c r="B12" i="1"/>
  <c r="B13" i="1"/>
  <c r="B14" i="1"/>
  <c r="B15" i="1"/>
  <c r="B10" i="1"/>
  <c r="A15" i="1"/>
  <c r="A11" i="1"/>
  <c r="A12" i="1"/>
  <c r="A13" i="1"/>
  <c r="A14" i="1"/>
  <c r="A10" i="1"/>
</calcChain>
</file>

<file path=xl/sharedStrings.xml><?xml version="1.0" encoding="utf-8"?>
<sst xmlns="http://schemas.openxmlformats.org/spreadsheetml/2006/main" count="32" uniqueCount="31">
  <si>
    <t>A</t>
  </si>
  <si>
    <t>B</t>
  </si>
  <si>
    <t>C</t>
  </si>
  <si>
    <t>D</t>
  </si>
  <si>
    <t>E</t>
  </si>
  <si>
    <t>Full Name</t>
  </si>
  <si>
    <t>Department</t>
  </si>
  <si>
    <t>Hire Date</t>
  </si>
  <si>
    <t>Score</t>
  </si>
  <si>
    <t>Status</t>
  </si>
  <si>
    <t>Jacob Fernandez</t>
  </si>
  <si>
    <t>IT</t>
  </si>
  <si>
    <t>Maria Santos</t>
  </si>
  <si>
    <t>Accounting</t>
  </si>
  <si>
    <t>Luis Reyes</t>
  </si>
  <si>
    <t>Anna Cruz</t>
  </si>
  <si>
    <t>HR</t>
  </si>
  <si>
    <t>Mark Dela Cruz</t>
  </si>
  <si>
    <t>Sales</t>
  </si>
  <si>
    <t>Result</t>
  </si>
  <si>
    <t>F</t>
  </si>
  <si>
    <t>TRIM</t>
  </si>
  <si>
    <t>LEFT</t>
  </si>
  <si>
    <t>RIGHT</t>
  </si>
  <si>
    <t>MID</t>
  </si>
  <si>
    <t>TODAY</t>
  </si>
  <si>
    <t>YEAR</t>
  </si>
  <si>
    <t>MONTH</t>
  </si>
  <si>
    <t>DAY</t>
  </si>
  <si>
    <t>SERVICE YEARS</t>
  </si>
  <si>
    <t>Qualification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</si>
</sst>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8C634-04BD-4C89-B109-25124EB26DD7}">
  <dimension ref="A1:I15"/>
  <sheetViews>
    <sheetView tabSelected="1" workbookViewId="0">
      <selection activeCell="D3" sqref="D3"/>
    </sheetView>
  </sheetViews>
  <sheetFormatPr defaultRowHeight="15" x14ac:dyDescent="0.25"/>
  <cols>
    <col min="1" max="1" width="15.85546875" bestFit="1" customWidth="1"/>
    <col min="2" max="2" width="11.28515625" bestFit="1" customWidth="1"/>
    <col min="3" max="3" width="10.42578125" bestFit="1" customWidth="1"/>
    <col min="4" max="4" width="6.85546875" bestFit="1" customWidth="1"/>
    <col min="5" max="5" width="21.42578125" bestFit="1" customWidth="1"/>
    <col min="6" max="6" width="18.85546875" bestFit="1" customWidth="1"/>
    <col min="7" max="7" width="20.28515625" bestFit="1" customWidth="1"/>
    <col min="8" max="8" width="5.5703125" bestFit="1" customWidth="1"/>
    <col min="9" max="9" width="14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</row>
    <row r="2" spans="1:9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19</v>
      </c>
      <c r="G2" s="2" t="s">
        <v>30</v>
      </c>
    </row>
    <row r="3" spans="1:9" x14ac:dyDescent="0.25">
      <c r="A3" s="2" t="s">
        <v>10</v>
      </c>
      <c r="B3" s="2" t="s">
        <v>11</v>
      </c>
      <c r="C3" s="4">
        <v>45488</v>
      </c>
      <c r="D3" s="2">
        <v>92</v>
      </c>
      <c r="E3" s="2" t="str">
        <f>IF(OR(B3="IT",B3="HR"),"Priority Department","Other Department")</f>
        <v>Priority Department</v>
      </c>
      <c r="F3" t="str">
        <f>IF(D2&gt;=90,"Excellent",IF(D2&gt;=85,"Very Good",IF(D2&gt;=75,"Satisfactory","Needs Improvement")))</f>
        <v>Excellent</v>
      </c>
      <c r="G3" t="str">
        <f>IF(AND(D3&gt;=75,B3="IT"),"Passed IT Requirment","Not Qualified")</f>
        <v>Passed IT Requirment</v>
      </c>
    </row>
    <row r="4" spans="1:9" x14ac:dyDescent="0.25">
      <c r="A4" s="2" t="s">
        <v>12</v>
      </c>
      <c r="B4" s="2" t="s">
        <v>13</v>
      </c>
      <c r="C4" s="4">
        <v>45261</v>
      </c>
      <c r="D4" s="2">
        <v>74</v>
      </c>
      <c r="E4" s="2" t="str">
        <f t="shared" ref="E4:E7" si="0">IF(OR(B3="IT",B3="HR"),"Priority Department","Other Department")</f>
        <v>Priority Department</v>
      </c>
      <c r="F4" t="str">
        <f t="shared" ref="F4:F7" si="1">IF(D3&gt;=90,"Excellent",IF(D3&gt;=85,"Very Good",IF(D3&gt;=75,"Satisfactory","Needs Improvement")))</f>
        <v>Excellent</v>
      </c>
      <c r="G4" t="str">
        <f t="shared" ref="G4:G7" si="2">IF(AND(D4&gt;=75,B4="IT"),"Passed IT Requirment","Not Qualified")</f>
        <v>Not Qualified</v>
      </c>
    </row>
    <row r="5" spans="1:9" x14ac:dyDescent="0.25">
      <c r="A5" s="2" t="s">
        <v>14</v>
      </c>
      <c r="B5" s="2" t="s">
        <v>11</v>
      </c>
      <c r="C5" s="4">
        <v>45677</v>
      </c>
      <c r="D5" s="2">
        <v>88</v>
      </c>
      <c r="E5" s="2" t="str">
        <f t="shared" si="0"/>
        <v>Other Department</v>
      </c>
      <c r="F5" t="str">
        <f t="shared" si="1"/>
        <v>Needs Improvement</v>
      </c>
      <c r="G5" t="str">
        <f t="shared" si="2"/>
        <v>Passed IT Requirment</v>
      </c>
    </row>
    <row r="6" spans="1:9" x14ac:dyDescent="0.25">
      <c r="A6" s="2" t="s">
        <v>15</v>
      </c>
      <c r="B6" s="2" t="s">
        <v>16</v>
      </c>
      <c r="C6" s="4">
        <v>44722</v>
      </c>
      <c r="D6" s="2">
        <v>69</v>
      </c>
      <c r="E6" s="2" t="str">
        <f t="shared" si="0"/>
        <v>Priority Department</v>
      </c>
      <c r="F6" t="str">
        <f t="shared" si="1"/>
        <v>Very Good</v>
      </c>
      <c r="G6" t="str">
        <f t="shared" si="2"/>
        <v>Not Qualified</v>
      </c>
    </row>
    <row r="7" spans="1:9" x14ac:dyDescent="0.25">
      <c r="A7" s="2" t="s">
        <v>17</v>
      </c>
      <c r="B7" s="2" t="s">
        <v>18</v>
      </c>
      <c r="C7" s="4">
        <v>45540</v>
      </c>
      <c r="D7" s="2">
        <v>81</v>
      </c>
      <c r="E7" s="2" t="str">
        <f t="shared" si="0"/>
        <v>Priority Department</v>
      </c>
      <c r="F7" t="str">
        <f t="shared" si="1"/>
        <v>Needs Improvement</v>
      </c>
      <c r="G7" t="str">
        <f t="shared" si="2"/>
        <v>Not Qualified</v>
      </c>
    </row>
    <row r="9" spans="1:9" x14ac:dyDescent="0.25">
      <c r="A9" s="2" t="s">
        <v>21</v>
      </c>
      <c r="B9" s="2" t="s">
        <v>22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H9" t="s">
        <v>28</v>
      </c>
      <c r="I9" t="s">
        <v>29</v>
      </c>
    </row>
    <row r="10" spans="1:9" x14ac:dyDescent="0.25">
      <c r="A10" t="str">
        <f>TRIM(A2)</f>
        <v>Full Name</v>
      </c>
      <c r="B10" t="str">
        <f>LEFT(A2, 4)</f>
        <v>Full</v>
      </c>
      <c r="C10" t="str">
        <f>RIGHT(A2, 4)</f>
        <v>Name</v>
      </c>
      <c r="D10" t="str">
        <f>MID(A2,3,6)</f>
        <v>ll Nam</v>
      </c>
      <c r="E10" s="3">
        <f ca="1">TODAY()</f>
        <v>46238</v>
      </c>
      <c r="F10">
        <f>YEAR(C3)</f>
        <v>2024</v>
      </c>
      <c r="G10">
        <f>MONTH(C3)</f>
        <v>7</v>
      </c>
      <c r="H10">
        <f>DAY(C3)</f>
        <v>15</v>
      </c>
      <c r="I10" s="3">
        <f ca="1">YEAR(TODAY())-YEAR(C3)</f>
        <v>2</v>
      </c>
    </row>
    <row r="11" spans="1:9" x14ac:dyDescent="0.25">
      <c r="A11" t="str">
        <f>TRIM(A3)</f>
        <v>Jacob Fernandez</v>
      </c>
      <c r="B11" t="str">
        <f>LEFT(A3, 4)</f>
        <v>Jaco</v>
      </c>
      <c r="C11" t="str">
        <f>RIGHT(A3, 4)</f>
        <v>ndez</v>
      </c>
      <c r="D11" t="str">
        <f>MID(A3,3,6)</f>
        <v>cob Fe</v>
      </c>
      <c r="E11" s="3">
        <f t="shared" ref="E11:E15" ca="1" si="3">TODAY()</f>
        <v>46238</v>
      </c>
      <c r="F11">
        <f t="shared" ref="F11:F15" si="4">YEAR(C4)</f>
        <v>2023</v>
      </c>
      <c r="G11">
        <f t="shared" ref="G11:G15" si="5">MONTH(C4)</f>
        <v>12</v>
      </c>
      <c r="H11">
        <f t="shared" ref="H11:H15" si="6">DAY(C4)</f>
        <v>1</v>
      </c>
      <c r="I11" s="3">
        <f t="shared" ref="I11:I15" ca="1" si="7">YEAR(TODAY())-YEAR(C4)</f>
        <v>3</v>
      </c>
    </row>
    <row r="12" spans="1:9" x14ac:dyDescent="0.25">
      <c r="A12" t="str">
        <f>TRIM(A4)</f>
        <v>Maria Santos</v>
      </c>
      <c r="B12" t="str">
        <f>LEFT(A4, 4)</f>
        <v>Mari</v>
      </c>
      <c r="C12" t="str">
        <f>RIGHT(A4, 4)</f>
        <v>ntos</v>
      </c>
      <c r="D12" t="str">
        <f>MID(A4,3,6)</f>
        <v>ria Sa</v>
      </c>
      <c r="E12" s="3">
        <f t="shared" ca="1" si="3"/>
        <v>46238</v>
      </c>
      <c r="F12">
        <f t="shared" si="4"/>
        <v>2025</v>
      </c>
      <c r="G12">
        <f t="shared" si="5"/>
        <v>1</v>
      </c>
      <c r="H12">
        <f t="shared" si="6"/>
        <v>20</v>
      </c>
      <c r="I12" s="3">
        <f t="shared" ca="1" si="7"/>
        <v>1</v>
      </c>
    </row>
    <row r="13" spans="1:9" x14ac:dyDescent="0.25">
      <c r="A13" t="str">
        <f>TRIM(A5)</f>
        <v>Luis Reyes</v>
      </c>
      <c r="B13" t="str">
        <f>LEFT(A5, 4)</f>
        <v>Luis</v>
      </c>
      <c r="C13" t="str">
        <f>RIGHT(A5, 4)</f>
        <v>eyes</v>
      </c>
      <c r="D13" t="str">
        <f>MID(A5,3,6)</f>
        <v>is Rey</v>
      </c>
      <c r="E13" s="3">
        <f t="shared" ca="1" si="3"/>
        <v>46238</v>
      </c>
      <c r="F13">
        <f t="shared" si="4"/>
        <v>2022</v>
      </c>
      <c r="G13">
        <f t="shared" si="5"/>
        <v>6</v>
      </c>
      <c r="H13">
        <f t="shared" si="6"/>
        <v>10</v>
      </c>
      <c r="I13" s="3">
        <f t="shared" ca="1" si="7"/>
        <v>4</v>
      </c>
    </row>
    <row r="14" spans="1:9" x14ac:dyDescent="0.25">
      <c r="A14" t="str">
        <f>TRIM(A6)</f>
        <v>Anna Cruz</v>
      </c>
      <c r="B14" t="str">
        <f>LEFT(A6, 4)</f>
        <v>Anna</v>
      </c>
      <c r="C14" t="str">
        <f>RIGHT(A6, 4)</f>
        <v>Cruz</v>
      </c>
      <c r="D14" t="str">
        <f>MID(A6,3,6)</f>
        <v>na Cru</v>
      </c>
      <c r="E14" s="3">
        <f t="shared" ca="1" si="3"/>
        <v>46238</v>
      </c>
      <c r="F14">
        <f t="shared" si="4"/>
        <v>2024</v>
      </c>
      <c r="G14">
        <f t="shared" si="5"/>
        <v>9</v>
      </c>
      <c r="H14">
        <f t="shared" si="6"/>
        <v>5</v>
      </c>
      <c r="I14" s="3">
        <f t="shared" ca="1" si="7"/>
        <v>2</v>
      </c>
    </row>
    <row r="15" spans="1:9" x14ac:dyDescent="0.25">
      <c r="A15" t="str">
        <f>TRIM(A7)</f>
        <v>Mark Dela Cruz</v>
      </c>
      <c r="B15" t="str">
        <f>LEFT(A7, 4)</f>
        <v>Mark</v>
      </c>
      <c r="C15" t="str">
        <f>RIGHT(A7, 4)</f>
        <v>Cruz</v>
      </c>
      <c r="D15" t="str">
        <f>MID(A7,3,6)</f>
        <v>rk Del</v>
      </c>
      <c r="E15" s="3">
        <f t="shared" ca="1" si="3"/>
        <v>46238</v>
      </c>
      <c r="F15">
        <f t="shared" si="4"/>
        <v>1900</v>
      </c>
      <c r="G15">
        <f t="shared" si="5"/>
        <v>1</v>
      </c>
      <c r="H15">
        <f t="shared" si="6"/>
        <v>0</v>
      </c>
      <c r="I15" s="3">
        <f t="shared" ca="1" si="7"/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 and 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FERNANDEZ, JACOB RILEY</dc:creator>
  <cp:lastModifiedBy>FERNANDEZ, JACOB RILEY</cp:lastModifiedBy>
  <dcterms:created xsi:type="dcterms:W3CDTF">2026-08-04T07:43:49Z</dcterms:created>
  <dcterms:modified xsi:type="dcterms:W3CDTF">2026-08-04T08:05:05Z</dcterms:modified>
</cp:coreProperties>
</file>