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GitHub\portfolio-repo\IT-Portfolio\Excel\dynamic-arrays\"/>
    </mc:Choice>
  </mc:AlternateContent>
  <xr:revisionPtr revIDLastSave="0" documentId="8_{409D9E32-A123-4607-8C47-1974D6EC2618}" xr6:coauthVersionLast="47" xr6:coauthVersionMax="47" xr10:uidLastSave="{00000000-0000-0000-0000-000000000000}"/>
  <bookViews>
    <workbookView xWindow="0" yWindow="0" windowWidth="10800" windowHeight="12900" xr2:uid="{0C026211-9BCB-461D-8513-4AE2A5CCD989}"/>
  </bookViews>
  <sheets>
    <sheet name="Dynamic Arra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4" i="1" l="1" a="1"/>
  <c r="H64" i="1" s="1"/>
  <c r="H62" i="1" a="1"/>
  <c r="H62" i="1" s="1"/>
  <c r="G1" i="1" a="1"/>
  <c r="G1" i="1" s="1"/>
  <c r="G9" i="1" a="1"/>
  <c r="G9" i="1" s="1"/>
  <c r="H27" i="1" a="1"/>
  <c r="H27" i="1" s="1"/>
  <c r="H57" i="1" a="1"/>
  <c r="H57" i="1" s="1"/>
  <c r="H49" i="1" a="1"/>
  <c r="H49" i="1" s="1"/>
  <c r="H46" i="1" a="1"/>
  <c r="H46" i="1" s="1"/>
  <c r="H38" i="1" a="1"/>
  <c r="H38" i="1" s="1"/>
  <c r="H34" i="1" a="1"/>
  <c r="H34" i="1" s="1"/>
  <c r="H31" i="1" a="1"/>
  <c r="H31" i="1" s="1"/>
  <c r="H22" i="1" a="1"/>
  <c r="H22" i="1" s="1"/>
  <c r="H18" i="1" a="1"/>
  <c r="H18" i="1" s="1"/>
  <c r="G5" i="1" a="1"/>
  <c r="G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<sst xmlns="http://schemas.openxmlformats.org/spreadsheetml/2006/main" count="36" uniqueCount="27">
  <si>
    <t>Date</t>
  </si>
  <si>
    <t>Region</t>
  </si>
  <si>
    <t>Product</t>
  </si>
  <si>
    <t>Sales</t>
  </si>
  <si>
    <t>North</t>
  </si>
  <si>
    <t>Laptop</t>
  </si>
  <si>
    <t>South</t>
  </si>
  <si>
    <t>Monitor</t>
  </si>
  <si>
    <t>Keyboard</t>
  </si>
  <si>
    <t>East</t>
  </si>
  <si>
    <t>West</t>
  </si>
  <si>
    <t>Mouse</t>
  </si>
  <si>
    <t>Printer</t>
  </si>
  <si>
    <t>FILTER</t>
  </si>
  <si>
    <t>SORT</t>
  </si>
  <si>
    <t>UNIQUE</t>
  </si>
  <si>
    <t>unique regions</t>
  </si>
  <si>
    <t>unique products</t>
  </si>
  <si>
    <t>COMBINED FUNCTIONS</t>
  </si>
  <si>
    <t>unique sorted regions</t>
  </si>
  <si>
    <t>filter and sort</t>
  </si>
  <si>
    <t>DYNAMIC REPORT</t>
  </si>
  <si>
    <t>top sales record</t>
  </si>
  <si>
    <t>north region sales</t>
  </si>
  <si>
    <t>above 10,000</t>
  </si>
  <si>
    <t>unique prodcuts in alphabetical order</t>
  </si>
  <si>
    <t>filter South region rows and sort them by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</si>
</sst>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750D-B009-4104-B930-3242DAB8A25D}">
  <dimension ref="A1:K66"/>
  <sheetViews>
    <sheetView tabSelected="1" topLeftCell="F43" workbookViewId="0">
      <selection activeCell="H65" sqref="H65"/>
    </sheetView>
  </sheetViews>
  <sheetFormatPr defaultColWidth="10.28515625" defaultRowHeight="15" x14ac:dyDescent="0.25"/>
  <cols>
    <col min="1" max="1" width="12.28515625" customWidth="1"/>
    <col min="2" max="2" width="7.28515625" bestFit="1" customWidth="1"/>
    <col min="3" max="3" width="9.28515625" bestFit="1" customWidth="1"/>
    <col min="4" max="4" width="6" bestFit="1" customWidth="1"/>
    <col min="6" max="6" width="22.7109375" bestFit="1" customWidth="1"/>
    <col min="7" max="7" width="4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3" t="s">
        <v>3</v>
      </c>
      <c r="F1" s="6" t="s">
        <v>13</v>
      </c>
      <c r="G1" cm="1">
        <f t="array" ref="G1:J3">_xlfn._xlws.FILTER(A2:D9, B2:B9="North")</f>
        <v>46027</v>
      </c>
      <c r="H1" t="str">
        <v>North</v>
      </c>
      <c r="I1" t="str">
        <v>Laptop</v>
      </c>
      <c r="J1">
        <v>45000</v>
      </c>
    </row>
    <row r="2" spans="1:10" x14ac:dyDescent="0.25">
      <c r="A2" s="4">
        <v>46027</v>
      </c>
      <c r="B2" s="5" t="s">
        <v>4</v>
      </c>
      <c r="C2" s="5" t="s">
        <v>5</v>
      </c>
      <c r="D2" s="2">
        <v>45000</v>
      </c>
      <c r="G2">
        <v>46056</v>
      </c>
      <c r="H2" t="str">
        <v>North</v>
      </c>
      <c r="I2" t="str">
        <v>Keyboard</v>
      </c>
      <c r="J2">
        <v>6000</v>
      </c>
    </row>
    <row r="3" spans="1:10" x14ac:dyDescent="0.25">
      <c r="A3" s="4">
        <v>46034</v>
      </c>
      <c r="B3" s="5" t="s">
        <v>6</v>
      </c>
      <c r="C3" s="5" t="s">
        <v>7</v>
      </c>
      <c r="D3" s="2">
        <v>17000</v>
      </c>
      <c r="G3">
        <v>46096</v>
      </c>
      <c r="H3" t="str">
        <v>North</v>
      </c>
      <c r="I3" t="str">
        <v>Printer</v>
      </c>
      <c r="J3">
        <v>12500</v>
      </c>
    </row>
    <row r="4" spans="1:10" x14ac:dyDescent="0.25">
      <c r="A4" s="4">
        <v>46056</v>
      </c>
      <c r="B4" s="5" t="s">
        <v>4</v>
      </c>
      <c r="C4" s="5" t="s">
        <v>8</v>
      </c>
      <c r="D4" s="2">
        <v>6000</v>
      </c>
    </row>
    <row r="5" spans="1:10" x14ac:dyDescent="0.25">
      <c r="A5" s="4">
        <v>46064</v>
      </c>
      <c r="B5" s="5" t="s">
        <v>9</v>
      </c>
      <c r="C5" s="5" t="s">
        <v>5</v>
      </c>
      <c r="D5" s="2">
        <v>52000</v>
      </c>
      <c r="G5" cm="1">
        <f t="array" ref="G5:J7">_xlfn._xlws.FILTER(A2:D9, D2:D9&gt;20000)</f>
        <v>46027</v>
      </c>
      <c r="H5" t="str">
        <v>North</v>
      </c>
      <c r="I5" t="str">
        <v>Laptop</v>
      </c>
      <c r="J5">
        <v>45000</v>
      </c>
    </row>
    <row r="6" spans="1:10" x14ac:dyDescent="0.25">
      <c r="A6" s="4">
        <v>46089</v>
      </c>
      <c r="B6" s="5" t="s">
        <v>10</v>
      </c>
      <c r="C6" s="5" t="s">
        <v>11</v>
      </c>
      <c r="D6" s="2">
        <v>3750</v>
      </c>
      <c r="G6">
        <v>46064</v>
      </c>
      <c r="H6" t="str">
        <v>East</v>
      </c>
      <c r="I6" t="str">
        <v>Laptop</v>
      </c>
      <c r="J6">
        <v>52000</v>
      </c>
    </row>
    <row r="7" spans="1:10" x14ac:dyDescent="0.25">
      <c r="A7" s="4">
        <v>46096</v>
      </c>
      <c r="B7" s="5" t="s">
        <v>4</v>
      </c>
      <c r="C7" s="5" t="s">
        <v>12</v>
      </c>
      <c r="D7" s="2">
        <v>12500</v>
      </c>
      <c r="G7">
        <v>46113</v>
      </c>
      <c r="H7" t="str">
        <v>South</v>
      </c>
      <c r="I7" t="str">
        <v>Laptop</v>
      </c>
      <c r="J7">
        <v>48000</v>
      </c>
    </row>
    <row r="8" spans="1:10" x14ac:dyDescent="0.25">
      <c r="A8" s="4">
        <v>46113</v>
      </c>
      <c r="B8" s="5" t="s">
        <v>6</v>
      </c>
      <c r="C8" s="5" t="s">
        <v>5</v>
      </c>
      <c r="D8" s="2">
        <v>48000</v>
      </c>
    </row>
    <row r="9" spans="1:10" x14ac:dyDescent="0.25">
      <c r="A9" s="4">
        <v>46122</v>
      </c>
      <c r="B9" s="5" t="s">
        <v>9</v>
      </c>
      <c r="C9" s="5" t="s">
        <v>7</v>
      </c>
      <c r="D9" s="2">
        <v>20000</v>
      </c>
      <c r="F9" s="6" t="s">
        <v>14</v>
      </c>
      <c r="G9" cm="1">
        <f t="array" ref="G9:J16">_xlfn._xlws.SORT(A2:D9, 4, -1)</f>
        <v>46064</v>
      </c>
      <c r="H9" t="str">
        <v>East</v>
      </c>
      <c r="I9" t="str">
        <v>Laptop</v>
      </c>
      <c r="J9">
        <v>52000</v>
      </c>
    </row>
    <row r="10" spans="1:10" x14ac:dyDescent="0.25">
      <c r="G10">
        <v>46113</v>
      </c>
      <c r="H10" t="str">
        <v>South</v>
      </c>
      <c r="I10" t="str">
        <v>Laptop</v>
      </c>
      <c r="J10">
        <v>48000</v>
      </c>
    </row>
    <row r="11" spans="1:10" x14ac:dyDescent="0.25">
      <c r="G11">
        <v>46027</v>
      </c>
      <c r="H11" t="str">
        <v>North</v>
      </c>
      <c r="I11" t="str">
        <v>Laptop</v>
      </c>
      <c r="J11">
        <v>45000</v>
      </c>
    </row>
    <row r="12" spans="1:10" x14ac:dyDescent="0.25">
      <c r="G12">
        <v>46122</v>
      </c>
      <c r="H12" t="str">
        <v>East</v>
      </c>
      <c r="I12" t="str">
        <v>Monitor</v>
      </c>
      <c r="J12">
        <v>20000</v>
      </c>
    </row>
    <row r="13" spans="1:10" x14ac:dyDescent="0.25">
      <c r="G13">
        <v>46034</v>
      </c>
      <c r="H13" t="str">
        <v>South</v>
      </c>
      <c r="I13" t="str">
        <v>Monitor</v>
      </c>
      <c r="J13">
        <v>17000</v>
      </c>
    </row>
    <row r="14" spans="1:10" x14ac:dyDescent="0.25">
      <c r="G14">
        <v>46096</v>
      </c>
      <c r="H14" t="str">
        <v>North</v>
      </c>
      <c r="I14" t="str">
        <v>Printer</v>
      </c>
      <c r="J14">
        <v>12500</v>
      </c>
    </row>
    <row r="15" spans="1:10" x14ac:dyDescent="0.25">
      <c r="G15">
        <v>46056</v>
      </c>
      <c r="H15" t="str">
        <v>North</v>
      </c>
      <c r="I15" t="str">
        <v>Keyboard</v>
      </c>
      <c r="J15">
        <v>6000</v>
      </c>
    </row>
    <row r="16" spans="1:10" x14ac:dyDescent="0.25">
      <c r="G16">
        <v>46089</v>
      </c>
      <c r="H16" t="str">
        <v>West</v>
      </c>
      <c r="I16" t="str">
        <v>Mouse</v>
      </c>
      <c r="J16">
        <v>3750</v>
      </c>
    </row>
    <row r="18" spans="6:11" x14ac:dyDescent="0.25">
      <c r="F18" s="6" t="s">
        <v>15</v>
      </c>
      <c r="G18" t="s">
        <v>16</v>
      </c>
      <c r="H18" t="str" cm="1">
        <f t="array" ref="H18:H21">_xlfn.UNIQUE(B2:B9)</f>
        <v>North</v>
      </c>
    </row>
    <row r="19" spans="6:11" x14ac:dyDescent="0.25">
      <c r="H19" t="str">
        <v>South</v>
      </c>
    </row>
    <row r="20" spans="6:11" x14ac:dyDescent="0.25">
      <c r="H20" t="str">
        <v>East</v>
      </c>
    </row>
    <row r="21" spans="6:11" x14ac:dyDescent="0.25">
      <c r="H21" t="str">
        <v>West</v>
      </c>
    </row>
    <row r="22" spans="6:11" x14ac:dyDescent="0.25">
      <c r="G22" t="s">
        <v>17</v>
      </c>
      <c r="H22" t="str" cm="1">
        <f t="array" ref="H22:H26">_xlfn.UNIQUE(C2:C9)</f>
        <v>Laptop</v>
      </c>
    </row>
    <row r="23" spans="6:11" x14ac:dyDescent="0.25">
      <c r="H23" t="str">
        <v>Monitor</v>
      </c>
    </row>
    <row r="24" spans="6:11" x14ac:dyDescent="0.25">
      <c r="H24" t="str">
        <v>Keyboard</v>
      </c>
    </row>
    <row r="25" spans="6:11" x14ac:dyDescent="0.25">
      <c r="H25" t="str">
        <v>Mouse</v>
      </c>
    </row>
    <row r="26" spans="6:11" x14ac:dyDescent="0.25">
      <c r="H26" t="str">
        <v>Printer</v>
      </c>
    </row>
    <row r="27" spans="6:11" x14ac:dyDescent="0.25">
      <c r="F27" s="6" t="s">
        <v>18</v>
      </c>
      <c r="G27" t="s">
        <v>19</v>
      </c>
      <c r="H27" t="str" cm="1">
        <f t="array" ref="H27:H30">_xlfn._xlws.SORT(_xlfn.UNIQUE(B2:B9))</f>
        <v>East</v>
      </c>
    </row>
    <row r="28" spans="6:11" x14ac:dyDescent="0.25">
      <c r="H28" t="str">
        <v>North</v>
      </c>
    </row>
    <row r="29" spans="6:11" x14ac:dyDescent="0.25">
      <c r="H29" t="str">
        <v>South</v>
      </c>
    </row>
    <row r="30" spans="6:11" x14ac:dyDescent="0.25">
      <c r="H30" t="str">
        <v>West</v>
      </c>
    </row>
    <row r="31" spans="6:11" x14ac:dyDescent="0.25">
      <c r="G31" t="s">
        <v>20</v>
      </c>
      <c r="H31" cm="1">
        <f t="array" ref="H31:K33">_xlfn._xlws.SORT(_xlfn._xlws.FILTER(A2:D9, B2:B9="North"), 4, -1)</f>
        <v>46027</v>
      </c>
      <c r="I31" t="str">
        <v>North</v>
      </c>
      <c r="J31" t="str">
        <v>Laptop</v>
      </c>
      <c r="K31">
        <v>45000</v>
      </c>
    </row>
    <row r="32" spans="6:11" x14ac:dyDescent="0.25">
      <c r="H32">
        <v>46096</v>
      </c>
      <c r="I32" t="str">
        <v>North</v>
      </c>
      <c r="J32" t="str">
        <v>Printer</v>
      </c>
      <c r="K32">
        <v>12500</v>
      </c>
    </row>
    <row r="33" spans="6:11" x14ac:dyDescent="0.25">
      <c r="H33">
        <v>46056</v>
      </c>
      <c r="I33" t="str">
        <v>North</v>
      </c>
      <c r="J33" t="str">
        <v>Keyboard</v>
      </c>
      <c r="K33">
        <v>6000</v>
      </c>
    </row>
    <row r="34" spans="6:11" x14ac:dyDescent="0.25">
      <c r="F34" s="6" t="s">
        <v>21</v>
      </c>
      <c r="G34" t="s">
        <v>16</v>
      </c>
      <c r="H34" t="str" cm="1">
        <f t="array" ref="H34:H37">_xlfn.UNIQUE(B2:B9)</f>
        <v>North</v>
      </c>
    </row>
    <row r="35" spans="6:11" x14ac:dyDescent="0.25">
      <c r="H35" t="str">
        <v>South</v>
      </c>
    </row>
    <row r="36" spans="6:11" x14ac:dyDescent="0.25">
      <c r="H36" t="str">
        <v>East</v>
      </c>
    </row>
    <row r="37" spans="6:11" x14ac:dyDescent="0.25">
      <c r="H37" t="str">
        <v>West</v>
      </c>
    </row>
    <row r="38" spans="6:11" x14ac:dyDescent="0.25">
      <c r="G38" t="s">
        <v>22</v>
      </c>
      <c r="H38" cm="1">
        <f t="array" ref="H38:K45">_xlfn._xlws.SORT(A2:D9, 4, -1)</f>
        <v>46064</v>
      </c>
      <c r="I38" t="str">
        <v>East</v>
      </c>
      <c r="J38" t="str">
        <v>Laptop</v>
      </c>
      <c r="K38">
        <v>52000</v>
      </c>
    </row>
    <row r="39" spans="6:11" x14ac:dyDescent="0.25">
      <c r="H39">
        <v>46113</v>
      </c>
      <c r="I39" t="str">
        <v>South</v>
      </c>
      <c r="J39" t="str">
        <v>Laptop</v>
      </c>
      <c r="K39">
        <v>48000</v>
      </c>
    </row>
    <row r="40" spans="6:11" x14ac:dyDescent="0.25">
      <c r="H40">
        <v>46027</v>
      </c>
      <c r="I40" t="str">
        <v>North</v>
      </c>
      <c r="J40" t="str">
        <v>Laptop</v>
      </c>
      <c r="K40">
        <v>45000</v>
      </c>
    </row>
    <row r="41" spans="6:11" x14ac:dyDescent="0.25">
      <c r="H41">
        <v>46122</v>
      </c>
      <c r="I41" t="str">
        <v>East</v>
      </c>
      <c r="J41" t="str">
        <v>Monitor</v>
      </c>
      <c r="K41">
        <v>20000</v>
      </c>
    </row>
    <row r="42" spans="6:11" x14ac:dyDescent="0.25">
      <c r="H42">
        <v>46034</v>
      </c>
      <c r="I42" t="str">
        <v>South</v>
      </c>
      <c r="J42" t="str">
        <v>Monitor</v>
      </c>
      <c r="K42">
        <v>17000</v>
      </c>
    </row>
    <row r="43" spans="6:11" x14ac:dyDescent="0.25">
      <c r="H43">
        <v>46096</v>
      </c>
      <c r="I43" t="str">
        <v>North</v>
      </c>
      <c r="J43" t="str">
        <v>Printer</v>
      </c>
      <c r="K43">
        <v>12500</v>
      </c>
    </row>
    <row r="44" spans="6:11" x14ac:dyDescent="0.25">
      <c r="H44">
        <v>46056</v>
      </c>
      <c r="I44" t="str">
        <v>North</v>
      </c>
      <c r="J44" t="str">
        <v>Keyboard</v>
      </c>
      <c r="K44">
        <v>6000</v>
      </c>
    </row>
    <row r="45" spans="6:11" x14ac:dyDescent="0.25">
      <c r="H45">
        <v>46089</v>
      </c>
      <c r="I45" t="str">
        <v>West</v>
      </c>
      <c r="J45" t="str">
        <v>Mouse</v>
      </c>
      <c r="K45">
        <v>3750</v>
      </c>
    </row>
    <row r="46" spans="6:11" x14ac:dyDescent="0.25">
      <c r="G46" t="s">
        <v>23</v>
      </c>
      <c r="H46" cm="1">
        <f t="array" ref="H46:K48">_xlfn._xlws.FILTER(A2:D9, B2:B9="North")</f>
        <v>46027</v>
      </c>
      <c r="I46" t="str">
        <v>North</v>
      </c>
      <c r="J46" t="str">
        <v>Laptop</v>
      </c>
      <c r="K46">
        <v>45000</v>
      </c>
    </row>
    <row r="47" spans="6:11" x14ac:dyDescent="0.25">
      <c r="H47">
        <v>46056</v>
      </c>
      <c r="I47" t="str">
        <v>North</v>
      </c>
      <c r="J47" t="str">
        <v>Keyboard</v>
      </c>
      <c r="K47">
        <v>6000</v>
      </c>
    </row>
    <row r="48" spans="6:11" x14ac:dyDescent="0.25">
      <c r="H48">
        <v>46096</v>
      </c>
      <c r="I48" t="str">
        <v>North</v>
      </c>
      <c r="J48" t="str">
        <v>Printer</v>
      </c>
      <c r="K48">
        <v>12500</v>
      </c>
    </row>
    <row r="49" spans="7:11" x14ac:dyDescent="0.25">
      <c r="G49" t="s">
        <v>24</v>
      </c>
      <c r="H49" cm="1">
        <f t="array" ref="H49:H56">_xlfn.UNIQUE(D2:D9, 10000)</f>
        <v>45000</v>
      </c>
    </row>
    <row r="50" spans="7:11" x14ac:dyDescent="0.25">
      <c r="H50">
        <v>17000</v>
      </c>
    </row>
    <row r="51" spans="7:11" x14ac:dyDescent="0.25">
      <c r="H51">
        <v>6000</v>
      </c>
    </row>
    <row r="52" spans="7:11" x14ac:dyDescent="0.25">
      <c r="H52">
        <v>52000</v>
      </c>
    </row>
    <row r="53" spans="7:11" x14ac:dyDescent="0.25">
      <c r="H53">
        <v>3750</v>
      </c>
    </row>
    <row r="54" spans="7:11" x14ac:dyDescent="0.25">
      <c r="H54">
        <v>12500</v>
      </c>
    </row>
    <row r="55" spans="7:11" x14ac:dyDescent="0.25">
      <c r="H55">
        <v>48000</v>
      </c>
    </row>
    <row r="56" spans="7:11" x14ac:dyDescent="0.25">
      <c r="H56">
        <v>20000</v>
      </c>
    </row>
    <row r="57" spans="7:11" x14ac:dyDescent="0.25">
      <c r="G57" t="s">
        <v>25</v>
      </c>
      <c r="H57" t="str" cm="1">
        <f t="array" ref="H57:H61">_xlfn._xlws.SORT(_xlfn.UNIQUE(C2:C9))</f>
        <v>Keyboard</v>
      </c>
    </row>
    <row r="58" spans="7:11" x14ac:dyDescent="0.25">
      <c r="H58" t="str">
        <v>Laptop</v>
      </c>
    </row>
    <row r="59" spans="7:11" x14ac:dyDescent="0.25">
      <c r="H59" t="str">
        <v>Monitor</v>
      </c>
    </row>
    <row r="60" spans="7:11" x14ac:dyDescent="0.25">
      <c r="H60" t="str">
        <v>Mouse</v>
      </c>
    </row>
    <row r="61" spans="7:11" x14ac:dyDescent="0.25">
      <c r="H61" t="str">
        <v>Printer</v>
      </c>
    </row>
    <row r="62" spans="7:11" x14ac:dyDescent="0.25">
      <c r="G62" t="s">
        <v>26</v>
      </c>
      <c r="H62" cm="1">
        <f t="array" ref="H62:K63">_xlfn._xlws.SORT(_xlfn._xlws.FILTER(A2:D9,B2:B9="South"))</f>
        <v>46034</v>
      </c>
      <c r="I62" t="str">
        <v>South</v>
      </c>
      <c r="J62" t="str">
        <v>Monitor</v>
      </c>
      <c r="K62">
        <v>17000</v>
      </c>
    </row>
    <row r="63" spans="7:11" x14ac:dyDescent="0.25">
      <c r="H63">
        <v>46113</v>
      </c>
      <c r="I63" t="str">
        <v>South</v>
      </c>
      <c r="J63" t="str">
        <v>Laptop</v>
      </c>
      <c r="K63">
        <v>48000</v>
      </c>
    </row>
    <row r="64" spans="7:11" x14ac:dyDescent="0.25">
      <c r="G64" t="s">
        <v>22</v>
      </c>
      <c r="H64" cm="1">
        <f t="array" ref="H64:K66">_xlfn.TAKE(_xlfn._xlws.SORT(A2:D9,4,-1),3)</f>
        <v>46064</v>
      </c>
      <c r="I64" t="str">
        <v>East</v>
      </c>
      <c r="J64" t="str">
        <v>Laptop</v>
      </c>
      <c r="K64">
        <v>52000</v>
      </c>
    </row>
    <row r="65" spans="8:11" x14ac:dyDescent="0.25">
      <c r="H65">
        <v>46113</v>
      </c>
      <c r="I65" t="str">
        <v>South</v>
      </c>
      <c r="J65" t="str">
        <v>Laptop</v>
      </c>
      <c r="K65">
        <v>48000</v>
      </c>
    </row>
    <row r="66" spans="8:11" x14ac:dyDescent="0.25">
      <c r="H66">
        <v>46027</v>
      </c>
      <c r="I66" t="str">
        <v>North</v>
      </c>
      <c r="J66" t="str">
        <v>Laptop</v>
      </c>
      <c r="K66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2026-08-25T12:21:07Z</dcterms:created>
  <dcterms:modified xsi:type="dcterms:W3CDTF">2026-08-25T12:57:24Z</dcterms:modified>
</cp:coreProperties>
</file>